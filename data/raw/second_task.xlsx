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6380" windowHeight="8190" tabRatio="500"/>
  </bookViews>
  <sheets>
    <sheet name="СтрессЭхо 2030 новый июнь (2)" sheetId="1" r:id="rId1"/>
  </sheet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P501" i="1" l="1"/>
  <c r="P502" i="1"/>
  <c r="P503" i="1"/>
  <c r="P504" i="1"/>
  <c r="P505" i="1"/>
  <c r="P506" i="1"/>
  <c r="P507" i="1"/>
  <c r="P508" i="1"/>
  <c r="P510" i="1"/>
  <c r="P511" i="1"/>
  <c r="P513" i="1"/>
  <c r="P516" i="1"/>
  <c r="P489" i="1"/>
  <c r="P491" i="1"/>
  <c r="P493" i="1"/>
  <c r="P494" i="1"/>
  <c r="P496" i="1"/>
  <c r="P497" i="1"/>
  <c r="P498" i="1"/>
  <c r="P500" i="1"/>
  <c r="P488" i="1"/>
  <c r="O538" i="1"/>
  <c r="I538" i="1"/>
  <c r="O537" i="1"/>
  <c r="I537" i="1"/>
  <c r="O536" i="1"/>
  <c r="I536" i="1"/>
  <c r="O535" i="1"/>
  <c r="I535" i="1"/>
  <c r="O534" i="1"/>
  <c r="I534" i="1"/>
  <c r="O533" i="1"/>
  <c r="I533" i="1"/>
  <c r="O532" i="1"/>
  <c r="I532" i="1"/>
  <c r="O531" i="1"/>
  <c r="I531" i="1"/>
  <c r="O530" i="1"/>
  <c r="I530" i="1"/>
  <c r="O529" i="1"/>
  <c r="I529" i="1"/>
  <c r="O528" i="1"/>
  <c r="I528" i="1"/>
  <c r="O527" i="1"/>
  <c r="I527" i="1"/>
  <c r="O526" i="1"/>
  <c r="I526" i="1"/>
  <c r="O525" i="1"/>
  <c r="I525" i="1"/>
  <c r="O524" i="1"/>
  <c r="I524" i="1"/>
  <c r="O523" i="1"/>
  <c r="I523" i="1"/>
  <c r="O522" i="1"/>
  <c r="I522" i="1"/>
  <c r="O521" i="1"/>
  <c r="I521" i="1"/>
  <c r="O520" i="1"/>
  <c r="I520" i="1"/>
  <c r="O519" i="1"/>
  <c r="I519" i="1"/>
  <c r="O518" i="1"/>
  <c r="I518" i="1"/>
  <c r="S479" i="1"/>
  <c r="Q479" i="1"/>
  <c r="P479" i="1"/>
  <c r="O479" i="1"/>
  <c r="I479" i="1"/>
  <c r="S478" i="1"/>
  <c r="Q478" i="1"/>
  <c r="P478" i="1"/>
  <c r="O478" i="1"/>
  <c r="I478" i="1"/>
  <c r="S477" i="1"/>
  <c r="Q477" i="1"/>
  <c r="P477" i="1"/>
  <c r="O477" i="1"/>
  <c r="I477" i="1"/>
  <c r="S476" i="1"/>
  <c r="Q476" i="1"/>
  <c r="P476" i="1"/>
  <c r="O476" i="1"/>
  <c r="I476" i="1"/>
  <c r="S475" i="1"/>
  <c r="Q475" i="1"/>
  <c r="P475" i="1"/>
  <c r="O475" i="1"/>
  <c r="I475" i="1"/>
  <c r="S474" i="1"/>
  <c r="Q474" i="1"/>
  <c r="P474" i="1"/>
  <c r="O474" i="1"/>
  <c r="I474" i="1"/>
  <c r="S473" i="1"/>
  <c r="Q473" i="1"/>
  <c r="P473" i="1"/>
  <c r="O473" i="1"/>
  <c r="I473" i="1"/>
  <c r="S472" i="1"/>
  <c r="Q472" i="1"/>
  <c r="P472" i="1"/>
  <c r="O472" i="1"/>
  <c r="I472" i="1"/>
  <c r="S471" i="1"/>
  <c r="Q471" i="1"/>
  <c r="P471" i="1"/>
  <c r="O471" i="1"/>
  <c r="I471" i="1"/>
  <c r="S470" i="1"/>
  <c r="Q470" i="1"/>
  <c r="P470" i="1"/>
  <c r="O470" i="1"/>
  <c r="I470" i="1"/>
  <c r="S469" i="1"/>
  <c r="Q469" i="1"/>
  <c r="P469" i="1"/>
  <c r="O469" i="1"/>
  <c r="I469" i="1"/>
  <c r="S468" i="1"/>
  <c r="Q468" i="1"/>
  <c r="P468" i="1"/>
  <c r="O468" i="1"/>
  <c r="I468" i="1"/>
  <c r="S467" i="1"/>
  <c r="Q467" i="1"/>
  <c r="P467" i="1"/>
  <c r="O467" i="1"/>
  <c r="I467" i="1"/>
  <c r="S466" i="1"/>
  <c r="Q466" i="1"/>
  <c r="P466" i="1"/>
  <c r="O466" i="1"/>
  <c r="I466" i="1"/>
  <c r="S465" i="1"/>
  <c r="Q465" i="1"/>
  <c r="I465" i="1"/>
  <c r="S464" i="1"/>
  <c r="Q464" i="1"/>
  <c r="P464" i="1"/>
  <c r="O464" i="1"/>
  <c r="I464" i="1"/>
  <c r="S463" i="1"/>
  <c r="Q463" i="1"/>
  <c r="P463" i="1"/>
  <c r="O463" i="1"/>
  <c r="I463" i="1"/>
  <c r="S462" i="1"/>
  <c r="Q462" i="1"/>
  <c r="P462" i="1"/>
  <c r="O462" i="1"/>
  <c r="I462" i="1"/>
  <c r="S461" i="1"/>
  <c r="V461" i="1" s="1"/>
  <c r="P461" i="1"/>
  <c r="O461" i="1"/>
  <c r="I461" i="1"/>
  <c r="S460" i="1"/>
  <c r="Q460" i="1"/>
  <c r="P460" i="1"/>
  <c r="O460" i="1"/>
  <c r="I460" i="1"/>
  <c r="S459" i="1"/>
  <c r="Q459" i="1"/>
  <c r="P459" i="1"/>
  <c r="O459" i="1"/>
  <c r="I459" i="1"/>
  <c r="S458" i="1"/>
  <c r="Q458" i="1"/>
  <c r="P458" i="1"/>
  <c r="O458" i="1"/>
  <c r="I458" i="1"/>
  <c r="S457" i="1"/>
  <c r="Q457" i="1"/>
  <c r="P457" i="1"/>
  <c r="O457" i="1"/>
  <c r="I457" i="1"/>
  <c r="S456" i="1"/>
  <c r="Q456" i="1"/>
  <c r="P456" i="1"/>
  <c r="O456" i="1"/>
  <c r="I456" i="1"/>
  <c r="S455" i="1"/>
  <c r="Q455" i="1"/>
  <c r="P455" i="1"/>
  <c r="O455" i="1"/>
  <c r="I455" i="1"/>
  <c r="S454" i="1"/>
  <c r="Q454" i="1"/>
  <c r="P454" i="1"/>
  <c r="O454" i="1"/>
  <c r="I454" i="1"/>
  <c r="Q453" i="1"/>
  <c r="V453" i="1" s="1"/>
  <c r="P453" i="1"/>
  <c r="O453" i="1"/>
  <c r="I453" i="1"/>
  <c r="S452" i="1"/>
  <c r="Q452" i="1"/>
  <c r="P452" i="1"/>
  <c r="O452" i="1"/>
  <c r="I452" i="1"/>
  <c r="S451" i="1"/>
  <c r="Q451" i="1"/>
  <c r="P451" i="1"/>
  <c r="O451" i="1"/>
  <c r="I451" i="1"/>
  <c r="S450" i="1"/>
  <c r="Q450" i="1"/>
  <c r="P450" i="1"/>
  <c r="O450" i="1"/>
  <c r="I450" i="1"/>
  <c r="S449" i="1"/>
  <c r="Q449" i="1"/>
  <c r="I449" i="1"/>
  <c r="S448" i="1"/>
  <c r="Q448" i="1"/>
  <c r="P448" i="1"/>
  <c r="O448" i="1"/>
  <c r="I448" i="1"/>
  <c r="S447" i="1"/>
  <c r="Q447" i="1"/>
  <c r="P447" i="1"/>
  <c r="O447" i="1"/>
  <c r="I447" i="1"/>
  <c r="S446" i="1"/>
  <c r="Q446" i="1"/>
  <c r="P446" i="1"/>
  <c r="O446" i="1"/>
  <c r="I446" i="1"/>
  <c r="S445" i="1"/>
  <c r="Q445" i="1"/>
  <c r="P445" i="1"/>
  <c r="O445" i="1"/>
  <c r="I445" i="1"/>
  <c r="S444" i="1"/>
  <c r="Q444" i="1"/>
  <c r="P444" i="1"/>
  <c r="O444" i="1"/>
  <c r="I444" i="1"/>
  <c r="S443" i="1"/>
  <c r="Q443" i="1"/>
  <c r="P443" i="1"/>
  <c r="O443" i="1"/>
  <c r="I443" i="1"/>
  <c r="S442" i="1"/>
  <c r="Q442" i="1"/>
  <c r="P442" i="1"/>
  <c r="O442" i="1"/>
  <c r="I442" i="1"/>
  <c r="S441" i="1"/>
  <c r="Q441" i="1"/>
  <c r="P441" i="1"/>
  <c r="O441" i="1"/>
  <c r="I441" i="1"/>
  <c r="S440" i="1"/>
  <c r="Q440" i="1"/>
  <c r="P440" i="1"/>
  <c r="O440" i="1"/>
  <c r="I440" i="1"/>
  <c r="S439" i="1"/>
  <c r="Q439" i="1"/>
  <c r="P439" i="1"/>
  <c r="O439" i="1"/>
  <c r="I439" i="1"/>
  <c r="S438" i="1"/>
  <c r="Q438" i="1"/>
  <c r="P438" i="1"/>
  <c r="O438" i="1"/>
  <c r="I438" i="1"/>
  <c r="S437" i="1"/>
  <c r="Q437" i="1"/>
  <c r="P437" i="1"/>
  <c r="O437" i="1"/>
  <c r="I437" i="1"/>
  <c r="S436" i="1"/>
  <c r="Q436" i="1"/>
  <c r="P436" i="1"/>
  <c r="O436" i="1"/>
  <c r="I436" i="1"/>
  <c r="S435" i="1"/>
  <c r="Q435" i="1"/>
  <c r="P435" i="1"/>
  <c r="O435" i="1"/>
  <c r="I435" i="1"/>
  <c r="S434" i="1"/>
  <c r="Q434" i="1"/>
  <c r="P434" i="1"/>
  <c r="O434" i="1"/>
  <c r="I434" i="1"/>
  <c r="S433" i="1"/>
  <c r="Q433" i="1"/>
  <c r="I433" i="1"/>
  <c r="S432" i="1"/>
  <c r="Q432" i="1"/>
  <c r="I432" i="1"/>
  <c r="S431" i="1"/>
  <c r="Q431" i="1"/>
  <c r="I431" i="1"/>
  <c r="S430" i="1"/>
  <c r="Q430" i="1"/>
  <c r="I430" i="1"/>
  <c r="S429" i="1"/>
  <c r="Q429" i="1"/>
  <c r="P429" i="1"/>
  <c r="O429" i="1"/>
  <c r="I429" i="1"/>
  <c r="S428" i="1"/>
  <c r="Q428" i="1"/>
  <c r="P428" i="1"/>
  <c r="O428" i="1"/>
  <c r="I428" i="1"/>
  <c r="S427" i="1"/>
  <c r="Q427" i="1"/>
  <c r="P427" i="1"/>
  <c r="O427" i="1"/>
  <c r="I427" i="1"/>
  <c r="S426" i="1"/>
  <c r="Q426" i="1"/>
  <c r="P426" i="1"/>
  <c r="O426" i="1"/>
  <c r="I426" i="1"/>
  <c r="S425" i="1"/>
  <c r="Q425" i="1"/>
  <c r="I425" i="1"/>
  <c r="S424" i="1"/>
  <c r="Q424" i="1"/>
  <c r="P424" i="1"/>
  <c r="O424" i="1"/>
  <c r="I424" i="1"/>
  <c r="S423" i="1"/>
  <c r="Q423" i="1"/>
  <c r="I423" i="1"/>
  <c r="S422" i="1"/>
  <c r="Q422" i="1"/>
  <c r="P422" i="1"/>
  <c r="O422" i="1"/>
  <c r="I422" i="1"/>
  <c r="S421" i="1"/>
  <c r="Q421" i="1"/>
  <c r="P421" i="1"/>
  <c r="O421" i="1"/>
  <c r="I421" i="1"/>
  <c r="S420" i="1"/>
  <c r="Q420" i="1"/>
  <c r="P420" i="1"/>
  <c r="O420" i="1"/>
  <c r="I420" i="1"/>
  <c r="S419" i="1"/>
  <c r="Q419" i="1"/>
  <c r="P419" i="1"/>
  <c r="O419" i="1"/>
  <c r="I419" i="1"/>
  <c r="S418" i="1"/>
  <c r="Q418" i="1"/>
  <c r="P418" i="1"/>
  <c r="O418" i="1"/>
  <c r="I418" i="1"/>
  <c r="S417" i="1"/>
  <c r="Q417" i="1"/>
  <c r="P417" i="1"/>
  <c r="O417" i="1"/>
  <c r="I417" i="1"/>
  <c r="S416" i="1"/>
  <c r="Q416" i="1"/>
  <c r="P416" i="1"/>
  <c r="O416" i="1"/>
  <c r="I416" i="1"/>
  <c r="S415" i="1"/>
  <c r="Q415" i="1"/>
  <c r="P415" i="1"/>
  <c r="O415" i="1"/>
  <c r="I415" i="1"/>
  <c r="S414" i="1"/>
  <c r="Q414" i="1"/>
  <c r="I414" i="1"/>
  <c r="S413" i="1"/>
  <c r="Q413" i="1"/>
  <c r="P413" i="1"/>
  <c r="O413" i="1"/>
  <c r="I413" i="1"/>
  <c r="S412" i="1"/>
  <c r="Q412" i="1"/>
  <c r="P412" i="1"/>
  <c r="O412" i="1"/>
  <c r="I412" i="1"/>
  <c r="S411" i="1"/>
  <c r="Q411" i="1"/>
  <c r="P411" i="1"/>
  <c r="O411" i="1"/>
  <c r="I411" i="1"/>
  <c r="S410" i="1"/>
  <c r="Q410" i="1"/>
  <c r="I410" i="1"/>
  <c r="S409" i="1"/>
  <c r="Q409" i="1"/>
  <c r="P409" i="1"/>
  <c r="O409" i="1"/>
  <c r="I409" i="1"/>
  <c r="S408" i="1"/>
  <c r="Q408" i="1"/>
  <c r="P408" i="1"/>
  <c r="O408" i="1"/>
  <c r="I408" i="1"/>
  <c r="S407" i="1"/>
  <c r="Q407" i="1"/>
  <c r="P407" i="1"/>
  <c r="O407" i="1"/>
  <c r="I407" i="1"/>
  <c r="S406" i="1"/>
  <c r="Q406" i="1"/>
  <c r="I406" i="1"/>
  <c r="S405" i="1"/>
  <c r="Q405" i="1"/>
  <c r="P405" i="1"/>
  <c r="O405" i="1"/>
  <c r="I405" i="1"/>
  <c r="S404" i="1"/>
  <c r="Q404" i="1"/>
  <c r="P404" i="1"/>
  <c r="O404" i="1"/>
  <c r="I404" i="1"/>
  <c r="S403" i="1"/>
  <c r="Q403" i="1"/>
  <c r="P403" i="1"/>
  <c r="O403" i="1"/>
  <c r="I403" i="1"/>
  <c r="S402" i="1"/>
  <c r="Q402" i="1"/>
  <c r="P402" i="1"/>
  <c r="O402" i="1"/>
  <c r="I402" i="1"/>
  <c r="S401" i="1"/>
  <c r="Q401" i="1"/>
  <c r="P401" i="1"/>
  <c r="O401" i="1"/>
  <c r="I401" i="1"/>
  <c r="S400" i="1"/>
  <c r="Q400" i="1"/>
  <c r="P400" i="1"/>
  <c r="O400" i="1"/>
  <c r="I400" i="1"/>
  <c r="S399" i="1"/>
  <c r="Q399" i="1"/>
  <c r="P399" i="1"/>
  <c r="O399" i="1"/>
  <c r="I399" i="1"/>
  <c r="S398" i="1"/>
  <c r="Q398" i="1"/>
  <c r="P398" i="1"/>
  <c r="O398" i="1"/>
  <c r="I398" i="1"/>
  <c r="S397" i="1"/>
  <c r="Q397" i="1"/>
  <c r="P397" i="1"/>
  <c r="O397" i="1"/>
  <c r="I397" i="1"/>
  <c r="S396" i="1"/>
  <c r="Q396" i="1"/>
  <c r="P396" i="1"/>
  <c r="O396" i="1"/>
  <c r="I396" i="1"/>
  <c r="S395" i="1"/>
  <c r="Q395" i="1"/>
  <c r="P395" i="1"/>
  <c r="O395" i="1"/>
  <c r="I395" i="1"/>
  <c r="S394" i="1"/>
  <c r="Q394" i="1"/>
  <c r="P394" i="1"/>
  <c r="O394" i="1"/>
  <c r="I394" i="1"/>
  <c r="S393" i="1"/>
  <c r="Q393" i="1"/>
  <c r="P393" i="1"/>
  <c r="O393" i="1"/>
  <c r="I393" i="1"/>
  <c r="S392" i="1"/>
  <c r="Q392" i="1"/>
  <c r="P392" i="1"/>
  <c r="O392" i="1"/>
  <c r="I392" i="1"/>
  <c r="S391" i="1"/>
  <c r="Q391" i="1"/>
  <c r="P391" i="1"/>
  <c r="O391" i="1"/>
  <c r="I391" i="1"/>
  <c r="S390" i="1"/>
  <c r="Q390" i="1"/>
  <c r="I390" i="1"/>
  <c r="S389" i="1"/>
  <c r="Q389" i="1"/>
  <c r="P389" i="1"/>
  <c r="O389" i="1"/>
  <c r="I389" i="1"/>
  <c r="S388" i="1"/>
  <c r="Q388" i="1"/>
  <c r="P388" i="1"/>
  <c r="O388" i="1"/>
  <c r="I388" i="1"/>
  <c r="S387" i="1"/>
  <c r="Q387" i="1"/>
  <c r="P387" i="1"/>
  <c r="O387" i="1"/>
  <c r="I387" i="1"/>
  <c r="S386" i="1"/>
  <c r="Q386" i="1"/>
  <c r="P386" i="1"/>
  <c r="O386" i="1"/>
  <c r="I386" i="1"/>
  <c r="S385" i="1"/>
  <c r="Q385" i="1"/>
  <c r="P385" i="1"/>
  <c r="O385" i="1"/>
  <c r="I385" i="1"/>
  <c r="S384" i="1"/>
  <c r="Q384" i="1"/>
  <c r="P384" i="1"/>
  <c r="O384" i="1"/>
  <c r="I384" i="1"/>
  <c r="S383" i="1"/>
  <c r="Q383" i="1"/>
  <c r="P383" i="1"/>
  <c r="O383" i="1"/>
  <c r="I383" i="1"/>
  <c r="S382" i="1"/>
  <c r="Q382" i="1"/>
  <c r="P382" i="1"/>
  <c r="O382" i="1"/>
  <c r="I382" i="1"/>
  <c r="S381" i="1"/>
  <c r="Q381" i="1"/>
  <c r="P381" i="1"/>
  <c r="O381" i="1"/>
  <c r="I381" i="1"/>
  <c r="S380" i="1"/>
  <c r="Q380" i="1"/>
  <c r="P380" i="1"/>
  <c r="O380" i="1"/>
  <c r="I380" i="1"/>
  <c r="S379" i="1"/>
  <c r="Q379" i="1"/>
  <c r="I379" i="1"/>
  <c r="S378" i="1"/>
  <c r="Q378" i="1"/>
  <c r="P378" i="1"/>
  <c r="O378" i="1"/>
  <c r="I378" i="1"/>
  <c r="S377" i="1"/>
  <c r="Q377" i="1"/>
  <c r="P377" i="1"/>
  <c r="O377" i="1"/>
  <c r="I377" i="1"/>
  <c r="S376" i="1"/>
  <c r="Q376" i="1"/>
  <c r="I376" i="1"/>
  <c r="S375" i="1"/>
  <c r="Q375" i="1"/>
  <c r="P375" i="1"/>
  <c r="O375" i="1"/>
  <c r="I375" i="1"/>
  <c r="S374" i="1"/>
  <c r="Q374" i="1"/>
  <c r="P374" i="1"/>
  <c r="O374" i="1"/>
  <c r="I374" i="1"/>
  <c r="S373" i="1"/>
  <c r="Q373" i="1"/>
  <c r="P373" i="1"/>
  <c r="O373" i="1"/>
  <c r="I373" i="1"/>
  <c r="S372" i="1"/>
  <c r="Q372" i="1"/>
  <c r="P372" i="1"/>
  <c r="O372" i="1"/>
  <c r="I372" i="1"/>
  <c r="S371" i="1"/>
  <c r="Q371" i="1"/>
  <c r="P371" i="1"/>
  <c r="O371" i="1"/>
  <c r="I371" i="1"/>
  <c r="S370" i="1"/>
  <c r="Q370" i="1"/>
  <c r="P370" i="1"/>
  <c r="O370" i="1"/>
  <c r="I370" i="1"/>
  <c r="S369" i="1"/>
  <c r="Q369" i="1"/>
  <c r="P369" i="1"/>
  <c r="O369" i="1"/>
  <c r="I369" i="1"/>
  <c r="S368" i="1"/>
  <c r="Q368" i="1"/>
  <c r="P368" i="1"/>
  <c r="O368" i="1"/>
  <c r="I368" i="1"/>
  <c r="S367" i="1"/>
  <c r="Q367" i="1"/>
  <c r="P367" i="1"/>
  <c r="O367" i="1"/>
  <c r="I367" i="1"/>
  <c r="Q366" i="1"/>
  <c r="P366" i="1"/>
  <c r="O366" i="1"/>
  <c r="I366" i="1"/>
  <c r="S365" i="1"/>
  <c r="Q365" i="1"/>
  <c r="P365" i="1"/>
  <c r="O365" i="1"/>
  <c r="I365" i="1"/>
  <c r="S364" i="1"/>
  <c r="Q364" i="1"/>
  <c r="P364" i="1"/>
  <c r="O364" i="1"/>
  <c r="I364" i="1"/>
  <c r="S363" i="1"/>
  <c r="Q363" i="1"/>
  <c r="I363" i="1"/>
  <c r="S362" i="1"/>
  <c r="Q362" i="1"/>
  <c r="P362" i="1"/>
  <c r="O362" i="1"/>
  <c r="I362" i="1"/>
  <c r="S361" i="1"/>
  <c r="Q361" i="1"/>
  <c r="P361" i="1"/>
  <c r="O361" i="1"/>
  <c r="I361" i="1"/>
  <c r="S360" i="1"/>
  <c r="Q360" i="1"/>
  <c r="P360" i="1"/>
  <c r="O360" i="1"/>
  <c r="I360" i="1"/>
  <c r="S359" i="1"/>
  <c r="Q359" i="1"/>
  <c r="P359" i="1"/>
  <c r="O359" i="1"/>
  <c r="I359" i="1"/>
  <c r="S358" i="1"/>
  <c r="Q358" i="1"/>
  <c r="I358" i="1"/>
  <c r="S357" i="1"/>
  <c r="Q357" i="1"/>
  <c r="P357" i="1"/>
  <c r="O357" i="1"/>
  <c r="I357" i="1"/>
  <c r="S356" i="1"/>
  <c r="Q356" i="1"/>
  <c r="P356" i="1"/>
  <c r="O356" i="1"/>
  <c r="I356" i="1"/>
  <c r="S355" i="1"/>
  <c r="Q355" i="1"/>
  <c r="P355" i="1"/>
  <c r="O355" i="1"/>
  <c r="I355" i="1"/>
  <c r="S354" i="1"/>
  <c r="Q354" i="1"/>
  <c r="I354" i="1"/>
  <c r="S353" i="1"/>
  <c r="Q353" i="1"/>
  <c r="P353" i="1"/>
  <c r="O353" i="1"/>
  <c r="I353" i="1"/>
  <c r="S352" i="1"/>
  <c r="Q352" i="1"/>
  <c r="P352" i="1"/>
  <c r="O352" i="1"/>
  <c r="I352" i="1"/>
  <c r="S351" i="1"/>
  <c r="Q351" i="1"/>
  <c r="P351" i="1"/>
  <c r="O351" i="1"/>
  <c r="I351" i="1"/>
  <c r="S350" i="1"/>
  <c r="Q350" i="1"/>
  <c r="P350" i="1"/>
  <c r="O350" i="1"/>
  <c r="I350" i="1"/>
  <c r="S349" i="1"/>
  <c r="Q349" i="1"/>
  <c r="P349" i="1"/>
  <c r="O349" i="1"/>
  <c r="I349" i="1"/>
  <c r="S348" i="1"/>
  <c r="Q348" i="1"/>
  <c r="P348" i="1"/>
  <c r="O348" i="1"/>
  <c r="I348" i="1"/>
  <c r="S347" i="1"/>
  <c r="Q347" i="1"/>
  <c r="P347" i="1"/>
  <c r="O347" i="1"/>
  <c r="I347" i="1"/>
  <c r="S346" i="1"/>
  <c r="Q346" i="1"/>
  <c r="P346" i="1"/>
  <c r="O346" i="1"/>
  <c r="I346" i="1"/>
  <c r="S345" i="1"/>
  <c r="Q345" i="1"/>
  <c r="P345" i="1"/>
  <c r="O345" i="1"/>
  <c r="I345" i="1"/>
  <c r="S344" i="1"/>
  <c r="Q344" i="1"/>
  <c r="P344" i="1"/>
  <c r="O344" i="1"/>
  <c r="I344" i="1"/>
  <c r="S343" i="1"/>
  <c r="Q343" i="1"/>
  <c r="P343" i="1"/>
  <c r="O343" i="1"/>
  <c r="I343" i="1"/>
  <c r="S342" i="1"/>
  <c r="Q342" i="1"/>
  <c r="P342" i="1"/>
  <c r="O342" i="1"/>
  <c r="I342" i="1"/>
  <c r="S341" i="1"/>
  <c r="Q341" i="1"/>
  <c r="P341" i="1"/>
  <c r="O341" i="1"/>
  <c r="I341" i="1"/>
  <c r="S340" i="1"/>
  <c r="Q340" i="1"/>
  <c r="P340" i="1"/>
  <c r="O340" i="1"/>
  <c r="I340" i="1"/>
  <c r="S339" i="1"/>
  <c r="Q339" i="1"/>
  <c r="P339" i="1"/>
  <c r="O339" i="1"/>
  <c r="I339" i="1"/>
  <c r="S338" i="1"/>
  <c r="Q338" i="1"/>
  <c r="P338" i="1"/>
  <c r="O338" i="1"/>
  <c r="I338" i="1"/>
  <c r="Q337" i="1"/>
  <c r="V337" i="1" s="1"/>
  <c r="P337" i="1"/>
  <c r="O337" i="1"/>
  <c r="I337" i="1"/>
  <c r="S336" i="1"/>
  <c r="Q336" i="1"/>
  <c r="P336" i="1"/>
  <c r="O336" i="1"/>
  <c r="I336" i="1"/>
  <c r="S335" i="1"/>
  <c r="Q335" i="1"/>
  <c r="P335" i="1"/>
  <c r="O335" i="1"/>
  <c r="I335" i="1"/>
  <c r="S334" i="1"/>
  <c r="Q334" i="1"/>
  <c r="P334" i="1"/>
  <c r="O334" i="1"/>
  <c r="I334" i="1"/>
  <c r="S333" i="1"/>
  <c r="Q333" i="1"/>
  <c r="P333" i="1"/>
  <c r="O333" i="1"/>
  <c r="I333" i="1"/>
  <c r="S332" i="1"/>
  <c r="Q332" i="1"/>
  <c r="P332" i="1"/>
  <c r="O332" i="1"/>
  <c r="I332" i="1"/>
  <c r="S331" i="1"/>
  <c r="Q331" i="1"/>
  <c r="I331" i="1"/>
  <c r="S330" i="1"/>
  <c r="Q330" i="1"/>
  <c r="P330" i="1"/>
  <c r="O330" i="1"/>
  <c r="I330" i="1"/>
  <c r="S329" i="1"/>
  <c r="Q329" i="1"/>
  <c r="P329" i="1"/>
  <c r="O329" i="1"/>
  <c r="I329" i="1"/>
  <c r="S328" i="1"/>
  <c r="Q328" i="1"/>
  <c r="I328" i="1"/>
  <c r="S327" i="1"/>
  <c r="Q327" i="1"/>
  <c r="P327" i="1"/>
  <c r="O327" i="1"/>
  <c r="I327" i="1"/>
  <c r="S326" i="1"/>
  <c r="Q326" i="1"/>
  <c r="P326" i="1"/>
  <c r="O326" i="1"/>
  <c r="I326" i="1"/>
  <c r="S325" i="1"/>
  <c r="Q325" i="1"/>
  <c r="P325" i="1"/>
  <c r="O325" i="1"/>
  <c r="I325" i="1"/>
  <c r="S324" i="1"/>
  <c r="Q324" i="1"/>
  <c r="P324" i="1"/>
  <c r="O324" i="1"/>
  <c r="I324" i="1"/>
  <c r="S323" i="1"/>
  <c r="Q323" i="1"/>
  <c r="P323" i="1"/>
  <c r="O323" i="1"/>
  <c r="I323" i="1"/>
  <c r="S322" i="1"/>
  <c r="Q322" i="1"/>
  <c r="P322" i="1"/>
  <c r="O322" i="1"/>
  <c r="I322" i="1"/>
  <c r="S321" i="1"/>
  <c r="Q321" i="1"/>
  <c r="I321" i="1"/>
  <c r="S320" i="1"/>
  <c r="Q320" i="1"/>
  <c r="P320" i="1"/>
  <c r="O320" i="1"/>
  <c r="I320" i="1"/>
  <c r="S319" i="1"/>
  <c r="Q319" i="1"/>
  <c r="P319" i="1"/>
  <c r="O319" i="1"/>
  <c r="I319" i="1"/>
  <c r="S318" i="1"/>
  <c r="Q318" i="1"/>
  <c r="P318" i="1"/>
  <c r="O318" i="1"/>
  <c r="I318" i="1"/>
  <c r="S317" i="1"/>
  <c r="Q317" i="1"/>
  <c r="P317" i="1"/>
  <c r="O317" i="1"/>
  <c r="I317" i="1"/>
  <c r="S316" i="1"/>
  <c r="Q316" i="1"/>
  <c r="P316" i="1"/>
  <c r="O316" i="1"/>
  <c r="I316" i="1"/>
  <c r="S315" i="1"/>
  <c r="Q315" i="1"/>
  <c r="P315" i="1"/>
  <c r="O315" i="1"/>
  <c r="I315" i="1"/>
  <c r="S314" i="1"/>
  <c r="Q314" i="1"/>
  <c r="P314" i="1"/>
  <c r="O314" i="1"/>
  <c r="I314" i="1"/>
  <c r="S313" i="1"/>
  <c r="Q313" i="1"/>
  <c r="P313" i="1"/>
  <c r="O313" i="1"/>
  <c r="I313" i="1"/>
  <c r="S312" i="1"/>
  <c r="Q312" i="1"/>
  <c r="P312" i="1"/>
  <c r="O312" i="1"/>
  <c r="I312" i="1"/>
  <c r="S311" i="1"/>
  <c r="Q311" i="1"/>
  <c r="I311" i="1"/>
  <c r="S310" i="1"/>
  <c r="Q310" i="1"/>
  <c r="I310" i="1"/>
  <c r="S309" i="1"/>
  <c r="Q309" i="1"/>
  <c r="P309" i="1"/>
  <c r="O309" i="1"/>
  <c r="I309" i="1"/>
  <c r="S308" i="1"/>
  <c r="Q308" i="1"/>
  <c r="P308" i="1"/>
  <c r="O308" i="1"/>
  <c r="I308" i="1"/>
  <c r="S307" i="1"/>
  <c r="Q307" i="1"/>
  <c r="I307" i="1"/>
  <c r="S306" i="1"/>
  <c r="Q306" i="1"/>
  <c r="P306" i="1"/>
  <c r="O306" i="1"/>
  <c r="I306" i="1"/>
  <c r="S305" i="1"/>
  <c r="Q305" i="1"/>
  <c r="I305" i="1"/>
  <c r="S304" i="1"/>
  <c r="Q304" i="1"/>
  <c r="P304" i="1"/>
  <c r="O304" i="1"/>
  <c r="I304" i="1"/>
  <c r="S303" i="1"/>
  <c r="Q303" i="1"/>
  <c r="P303" i="1"/>
  <c r="O303" i="1"/>
  <c r="I303" i="1"/>
  <c r="S302" i="1"/>
  <c r="Q302" i="1"/>
  <c r="P302" i="1"/>
  <c r="O302" i="1"/>
  <c r="I302" i="1"/>
  <c r="S301" i="1"/>
  <c r="I301" i="1"/>
  <c r="S300" i="1"/>
  <c r="Q300" i="1"/>
  <c r="P300" i="1"/>
  <c r="O300" i="1"/>
  <c r="I300" i="1"/>
  <c r="S299" i="1"/>
  <c r="Q299" i="1"/>
  <c r="I299" i="1"/>
  <c r="S298" i="1"/>
  <c r="Q298" i="1"/>
  <c r="P298" i="1"/>
  <c r="O298" i="1"/>
  <c r="I298" i="1"/>
  <c r="S297" i="1"/>
  <c r="Q297" i="1"/>
  <c r="P297" i="1"/>
  <c r="O297" i="1"/>
  <c r="I297" i="1"/>
  <c r="S296" i="1"/>
  <c r="Q296" i="1"/>
  <c r="P296" i="1"/>
  <c r="O296" i="1"/>
  <c r="I296" i="1"/>
  <c r="S295" i="1"/>
  <c r="Q295" i="1"/>
  <c r="P295" i="1"/>
  <c r="O295" i="1"/>
  <c r="I295" i="1"/>
  <c r="S294" i="1"/>
  <c r="Q294" i="1"/>
  <c r="P294" i="1"/>
  <c r="O294" i="1"/>
  <c r="I294" i="1"/>
  <c r="S293" i="1"/>
  <c r="Q293" i="1"/>
  <c r="P293" i="1"/>
  <c r="O293" i="1"/>
  <c r="I293" i="1"/>
  <c r="S292" i="1"/>
  <c r="Q292" i="1"/>
  <c r="P292" i="1"/>
  <c r="O292" i="1"/>
  <c r="I292" i="1"/>
  <c r="S291" i="1"/>
  <c r="Q291" i="1"/>
  <c r="P291" i="1"/>
  <c r="O291" i="1"/>
  <c r="I291" i="1"/>
  <c r="S290" i="1"/>
  <c r="Q290" i="1"/>
  <c r="P290" i="1"/>
  <c r="O290" i="1"/>
  <c r="I290" i="1"/>
  <c r="S289" i="1"/>
  <c r="Q289" i="1"/>
  <c r="P289" i="1"/>
  <c r="O289" i="1"/>
  <c r="I289" i="1"/>
  <c r="S288" i="1"/>
  <c r="Q288" i="1"/>
  <c r="I288" i="1"/>
  <c r="Q287" i="1"/>
  <c r="I287" i="1"/>
  <c r="S286" i="1"/>
  <c r="Q286" i="1"/>
  <c r="P286" i="1"/>
  <c r="O286" i="1"/>
  <c r="I286" i="1"/>
  <c r="S285" i="1"/>
  <c r="Q285" i="1"/>
  <c r="I285" i="1"/>
  <c r="S284" i="1"/>
  <c r="Q284" i="1"/>
  <c r="P284" i="1"/>
  <c r="O284" i="1"/>
  <c r="I284" i="1"/>
  <c r="S283" i="1"/>
  <c r="Q283" i="1"/>
  <c r="P283" i="1"/>
  <c r="O283" i="1"/>
  <c r="I283" i="1"/>
  <c r="S282" i="1"/>
  <c r="Q282" i="1"/>
  <c r="P282" i="1"/>
  <c r="O282" i="1"/>
  <c r="I282" i="1"/>
  <c r="S281" i="1"/>
  <c r="Q281" i="1"/>
  <c r="P281" i="1"/>
  <c r="O281" i="1"/>
  <c r="I281" i="1"/>
  <c r="S280" i="1"/>
  <c r="Q280" i="1"/>
  <c r="I280" i="1"/>
  <c r="S279" i="1"/>
  <c r="P279" i="1"/>
  <c r="O279" i="1"/>
  <c r="I279" i="1"/>
  <c r="S278" i="1"/>
  <c r="Q278" i="1"/>
  <c r="P278" i="1"/>
  <c r="O278" i="1"/>
  <c r="I278" i="1"/>
  <c r="S277" i="1"/>
  <c r="Q277" i="1"/>
  <c r="P277" i="1"/>
  <c r="O277" i="1"/>
  <c r="I277" i="1"/>
  <c r="S276" i="1"/>
  <c r="Q276" i="1"/>
  <c r="P276" i="1"/>
  <c r="O276" i="1"/>
  <c r="I276" i="1"/>
  <c r="S275" i="1"/>
  <c r="Q275" i="1"/>
  <c r="I275" i="1"/>
  <c r="S274" i="1"/>
  <c r="Q274" i="1"/>
  <c r="P274" i="1"/>
  <c r="O274" i="1"/>
  <c r="I274" i="1"/>
  <c r="S273" i="1"/>
  <c r="Q273" i="1"/>
  <c r="P273" i="1"/>
  <c r="O273" i="1"/>
  <c r="I273" i="1"/>
  <c r="S272" i="1"/>
  <c r="I272" i="1"/>
  <c r="S271" i="1"/>
  <c r="Q271" i="1"/>
  <c r="P271" i="1"/>
  <c r="O271" i="1"/>
  <c r="I271" i="1"/>
  <c r="S270" i="1"/>
  <c r="Q270" i="1"/>
  <c r="P270" i="1"/>
  <c r="O270" i="1"/>
  <c r="I270" i="1"/>
  <c r="S269" i="1"/>
  <c r="Q269" i="1"/>
  <c r="P269" i="1"/>
  <c r="O269" i="1"/>
  <c r="I269" i="1"/>
  <c r="S268" i="1"/>
  <c r="Q268" i="1"/>
  <c r="P268" i="1"/>
  <c r="O268" i="1"/>
  <c r="I268" i="1"/>
  <c r="S267" i="1"/>
  <c r="Q267" i="1"/>
  <c r="I267" i="1"/>
  <c r="S266" i="1"/>
  <c r="Q266" i="1"/>
  <c r="P266" i="1"/>
  <c r="O266" i="1"/>
  <c r="I266" i="1"/>
  <c r="S265" i="1"/>
  <c r="Q265" i="1"/>
  <c r="P265" i="1"/>
  <c r="O265" i="1"/>
  <c r="I265" i="1"/>
  <c r="S264" i="1"/>
  <c r="Q264" i="1"/>
  <c r="P264" i="1"/>
  <c r="O264" i="1"/>
  <c r="I264" i="1"/>
  <c r="S263" i="1"/>
  <c r="Q263" i="1"/>
  <c r="P263" i="1"/>
  <c r="O263" i="1"/>
  <c r="I263" i="1"/>
  <c r="S262" i="1"/>
  <c r="Q262" i="1"/>
  <c r="I262" i="1"/>
  <c r="S261" i="1"/>
  <c r="Q261" i="1"/>
  <c r="P261" i="1"/>
  <c r="O261" i="1"/>
  <c r="I261" i="1"/>
  <c r="S260" i="1"/>
  <c r="Q260" i="1"/>
  <c r="P260" i="1"/>
  <c r="O260" i="1"/>
  <c r="I260" i="1"/>
  <c r="S259" i="1"/>
  <c r="Q259" i="1"/>
  <c r="P259" i="1"/>
  <c r="O259" i="1"/>
  <c r="I259" i="1"/>
  <c r="S258" i="1"/>
  <c r="Q258" i="1"/>
  <c r="P258" i="1"/>
  <c r="O258" i="1"/>
  <c r="I258" i="1"/>
  <c r="S257" i="1"/>
  <c r="Q257" i="1"/>
  <c r="I257" i="1"/>
  <c r="S256" i="1"/>
  <c r="Q256" i="1"/>
  <c r="P256" i="1"/>
  <c r="O256" i="1"/>
  <c r="I256" i="1"/>
  <c r="S255" i="1"/>
  <c r="Q255" i="1"/>
  <c r="P255" i="1"/>
  <c r="O255" i="1"/>
  <c r="I255" i="1"/>
  <c r="S254" i="1"/>
  <c r="Q254" i="1"/>
  <c r="P254" i="1"/>
  <c r="O254" i="1"/>
  <c r="I254" i="1"/>
  <c r="S253" i="1"/>
  <c r="Q253" i="1"/>
  <c r="I253" i="1"/>
  <c r="S252" i="1"/>
  <c r="Q252" i="1"/>
  <c r="P252" i="1"/>
  <c r="O252" i="1"/>
  <c r="I252" i="1"/>
  <c r="S251" i="1"/>
  <c r="Q251" i="1"/>
  <c r="P251" i="1"/>
  <c r="O251" i="1"/>
  <c r="I251" i="1"/>
  <c r="S250" i="1"/>
  <c r="Q250" i="1"/>
  <c r="P250" i="1"/>
  <c r="O250" i="1"/>
  <c r="I250" i="1"/>
  <c r="S249" i="1"/>
  <c r="Q249" i="1"/>
  <c r="P249" i="1"/>
  <c r="O249" i="1"/>
  <c r="I249" i="1"/>
  <c r="S248" i="1"/>
  <c r="Q248" i="1"/>
  <c r="P248" i="1"/>
  <c r="O248" i="1"/>
  <c r="I248" i="1"/>
  <c r="S247" i="1"/>
  <c r="Q247" i="1"/>
  <c r="P247" i="1"/>
  <c r="O247" i="1"/>
  <c r="I247" i="1"/>
  <c r="S246" i="1"/>
  <c r="Q246" i="1"/>
  <c r="P246" i="1"/>
  <c r="O246" i="1"/>
  <c r="I246" i="1"/>
  <c r="S245" i="1"/>
  <c r="Q245" i="1"/>
  <c r="P245" i="1"/>
  <c r="O245" i="1"/>
  <c r="I245" i="1"/>
  <c r="S244" i="1"/>
  <c r="P244" i="1"/>
  <c r="O244" i="1"/>
  <c r="I244" i="1"/>
  <c r="S243" i="1"/>
  <c r="I243" i="1"/>
  <c r="S242" i="1"/>
  <c r="Q242" i="1"/>
  <c r="P242" i="1"/>
  <c r="O242" i="1"/>
  <c r="I242" i="1"/>
  <c r="S241" i="1"/>
  <c r="V241" i="1" s="1"/>
  <c r="P241" i="1"/>
  <c r="O241" i="1"/>
  <c r="I241" i="1"/>
  <c r="S240" i="1"/>
  <c r="V240" i="1" s="1"/>
  <c r="P240" i="1"/>
  <c r="O240" i="1"/>
  <c r="I240" i="1"/>
  <c r="S239" i="1"/>
  <c r="Q239" i="1"/>
  <c r="P239" i="1"/>
  <c r="O239" i="1"/>
  <c r="I239" i="1"/>
  <c r="S238" i="1"/>
  <c r="Q238" i="1"/>
  <c r="P238" i="1"/>
  <c r="O238" i="1"/>
  <c r="I238" i="1"/>
  <c r="S237" i="1"/>
  <c r="Q237" i="1"/>
  <c r="P237" i="1"/>
  <c r="O237" i="1"/>
  <c r="I237" i="1"/>
  <c r="S236" i="1"/>
  <c r="Q236" i="1"/>
  <c r="P236" i="1"/>
  <c r="O236" i="1"/>
  <c r="I236" i="1"/>
  <c r="S235" i="1"/>
  <c r="Q235" i="1"/>
  <c r="P235" i="1"/>
  <c r="O235" i="1"/>
  <c r="I235" i="1"/>
  <c r="S234" i="1"/>
  <c r="Q234" i="1"/>
  <c r="P234" i="1"/>
  <c r="O234" i="1"/>
  <c r="I234" i="1"/>
  <c r="S233" i="1"/>
  <c r="Q233" i="1"/>
  <c r="P233" i="1"/>
  <c r="O233" i="1"/>
  <c r="I233" i="1"/>
  <c r="S232" i="1"/>
  <c r="Q232" i="1"/>
  <c r="P232" i="1"/>
  <c r="O232" i="1"/>
  <c r="I232" i="1"/>
  <c r="S231" i="1"/>
  <c r="Q231" i="1"/>
  <c r="P231" i="1"/>
  <c r="O231" i="1"/>
  <c r="I231" i="1"/>
  <c r="S230" i="1"/>
  <c r="Q230" i="1"/>
  <c r="P230" i="1"/>
  <c r="O230" i="1"/>
  <c r="I230" i="1"/>
  <c r="S229" i="1"/>
  <c r="Q229" i="1"/>
  <c r="P229" i="1"/>
  <c r="O229" i="1"/>
  <c r="I229" i="1"/>
  <c r="S228" i="1"/>
  <c r="Q228" i="1"/>
  <c r="P228" i="1"/>
  <c r="O228" i="1"/>
  <c r="I228" i="1"/>
  <c r="S227" i="1"/>
  <c r="Q227" i="1"/>
  <c r="P227" i="1"/>
  <c r="O227" i="1"/>
  <c r="I227" i="1"/>
  <c r="S226" i="1"/>
  <c r="Q226" i="1"/>
  <c r="P226" i="1"/>
  <c r="O226" i="1"/>
  <c r="I226" i="1"/>
  <c r="S225" i="1"/>
  <c r="Q225" i="1"/>
  <c r="P225" i="1"/>
  <c r="O225" i="1"/>
  <c r="I225" i="1"/>
  <c r="S224" i="1"/>
  <c r="Q224" i="1"/>
  <c r="I224" i="1"/>
  <c r="S223" i="1"/>
  <c r="Q223" i="1"/>
  <c r="P223" i="1"/>
  <c r="O223" i="1"/>
  <c r="I223" i="1"/>
  <c r="S222" i="1"/>
  <c r="Q222" i="1"/>
  <c r="P222" i="1"/>
  <c r="O222" i="1"/>
  <c r="I222" i="1"/>
  <c r="S221" i="1"/>
  <c r="Q221" i="1"/>
  <c r="I221" i="1"/>
  <c r="S220" i="1"/>
  <c r="Q220" i="1"/>
  <c r="P220" i="1"/>
  <c r="O220" i="1"/>
  <c r="I220" i="1"/>
  <c r="S219" i="1"/>
  <c r="Q219" i="1"/>
  <c r="I219" i="1"/>
  <c r="S218" i="1"/>
  <c r="Q218" i="1"/>
  <c r="P218" i="1"/>
  <c r="O218" i="1"/>
  <c r="I218" i="1"/>
  <c r="S217" i="1"/>
  <c r="Q217" i="1"/>
  <c r="P217" i="1"/>
  <c r="O217" i="1"/>
  <c r="I217" i="1"/>
  <c r="S216" i="1"/>
  <c r="Q216" i="1"/>
  <c r="P216" i="1"/>
  <c r="O216" i="1"/>
  <c r="I216" i="1"/>
  <c r="S215" i="1"/>
  <c r="Q215" i="1"/>
  <c r="P215" i="1"/>
  <c r="O215" i="1"/>
  <c r="I215" i="1"/>
  <c r="S214" i="1"/>
  <c r="Q214" i="1"/>
  <c r="I214" i="1"/>
  <c r="S213" i="1"/>
  <c r="Q213" i="1"/>
  <c r="P213" i="1"/>
  <c r="O213" i="1"/>
  <c r="I213" i="1"/>
  <c r="S212" i="1"/>
  <c r="Q212" i="1"/>
  <c r="I212" i="1"/>
  <c r="S211" i="1"/>
  <c r="Q211" i="1"/>
  <c r="P211" i="1"/>
  <c r="O211" i="1"/>
  <c r="I211" i="1"/>
  <c r="S210" i="1"/>
  <c r="Q210" i="1"/>
  <c r="P210" i="1"/>
  <c r="O210" i="1"/>
  <c r="I210" i="1"/>
  <c r="S209" i="1"/>
  <c r="Q209" i="1"/>
  <c r="P209" i="1"/>
  <c r="O209" i="1"/>
  <c r="I209" i="1"/>
  <c r="S208" i="1"/>
  <c r="Q208" i="1"/>
  <c r="P208" i="1"/>
  <c r="O208" i="1"/>
  <c r="I208" i="1"/>
  <c r="S207" i="1"/>
  <c r="Q207" i="1"/>
  <c r="I207" i="1"/>
  <c r="S206" i="1"/>
  <c r="Q206" i="1"/>
  <c r="I206" i="1"/>
  <c r="S205" i="1"/>
  <c r="Q205" i="1"/>
  <c r="I205" i="1"/>
  <c r="S204" i="1"/>
  <c r="Q204" i="1"/>
  <c r="I204" i="1"/>
  <c r="S203" i="1"/>
  <c r="Q203" i="1"/>
  <c r="P203" i="1"/>
  <c r="O203" i="1"/>
  <c r="I203" i="1"/>
  <c r="S202" i="1"/>
  <c r="Q202" i="1"/>
  <c r="I202" i="1"/>
  <c r="Q201" i="1"/>
  <c r="I201" i="1"/>
  <c r="S200" i="1"/>
  <c r="V200" i="1" s="1"/>
  <c r="P200" i="1"/>
  <c r="O200" i="1"/>
  <c r="I200" i="1"/>
  <c r="S199" i="1"/>
  <c r="Q199" i="1"/>
  <c r="I199" i="1"/>
  <c r="S198" i="1"/>
  <c r="Q198" i="1"/>
  <c r="P198" i="1"/>
  <c r="O198" i="1"/>
  <c r="I198" i="1"/>
  <c r="S197" i="1"/>
  <c r="Q197" i="1"/>
  <c r="P197" i="1"/>
  <c r="O197" i="1"/>
  <c r="I197" i="1"/>
  <c r="S196" i="1"/>
  <c r="Q196" i="1"/>
  <c r="P196" i="1"/>
  <c r="O196" i="1"/>
  <c r="I196" i="1"/>
  <c r="S195" i="1"/>
  <c r="Q195" i="1"/>
  <c r="P195" i="1"/>
  <c r="O195" i="1"/>
  <c r="I195" i="1"/>
  <c r="S194" i="1"/>
  <c r="Q194" i="1"/>
  <c r="P194" i="1"/>
  <c r="O194" i="1"/>
  <c r="I194" i="1"/>
  <c r="S193" i="1"/>
  <c r="Q193" i="1"/>
  <c r="I193" i="1"/>
  <c r="S192" i="1"/>
  <c r="Q192" i="1"/>
  <c r="I192" i="1"/>
  <c r="S191" i="1"/>
  <c r="Q191" i="1"/>
  <c r="I191" i="1"/>
  <c r="S190" i="1"/>
  <c r="P190" i="1"/>
  <c r="O190" i="1"/>
  <c r="I190" i="1"/>
  <c r="S189" i="1"/>
  <c r="Q189" i="1"/>
  <c r="P189" i="1"/>
  <c r="O189" i="1"/>
  <c r="I189" i="1"/>
  <c r="S188" i="1"/>
  <c r="Q188" i="1"/>
  <c r="P188" i="1"/>
  <c r="O188" i="1"/>
  <c r="I188" i="1"/>
  <c r="S187" i="1"/>
  <c r="Q187" i="1"/>
  <c r="P187" i="1"/>
  <c r="O187" i="1"/>
  <c r="I187" i="1"/>
  <c r="S186" i="1"/>
  <c r="Q186" i="1"/>
  <c r="P186" i="1"/>
  <c r="O186" i="1"/>
  <c r="I186" i="1"/>
  <c r="S185" i="1"/>
  <c r="Q185" i="1"/>
  <c r="P185" i="1"/>
  <c r="O185" i="1"/>
  <c r="I185" i="1"/>
  <c r="S184" i="1"/>
  <c r="Q184" i="1"/>
  <c r="P184" i="1"/>
  <c r="O184" i="1"/>
  <c r="I184" i="1"/>
  <c r="S183" i="1"/>
  <c r="Q183" i="1"/>
  <c r="P183" i="1"/>
  <c r="O183" i="1"/>
  <c r="I183" i="1"/>
  <c r="S182" i="1"/>
  <c r="Q182" i="1"/>
  <c r="P182" i="1"/>
  <c r="O182" i="1"/>
  <c r="I182" i="1"/>
  <c r="S181" i="1"/>
  <c r="Q181" i="1"/>
  <c r="P181" i="1"/>
  <c r="O181" i="1"/>
  <c r="I181" i="1"/>
  <c r="S180" i="1"/>
  <c r="Q180" i="1"/>
  <c r="P180" i="1"/>
  <c r="O180" i="1"/>
  <c r="I180" i="1"/>
  <c r="S179" i="1"/>
  <c r="Q179" i="1"/>
  <c r="I179" i="1"/>
  <c r="S178" i="1"/>
  <c r="Q178" i="1"/>
  <c r="I178" i="1"/>
  <c r="S177" i="1"/>
  <c r="Q177" i="1"/>
  <c r="I177" i="1"/>
  <c r="S176" i="1"/>
  <c r="Q176" i="1"/>
  <c r="P176" i="1"/>
  <c r="O176" i="1"/>
  <c r="I176" i="1"/>
  <c r="S175" i="1"/>
  <c r="Q175" i="1"/>
  <c r="P175" i="1"/>
  <c r="O175" i="1"/>
  <c r="I175" i="1"/>
  <c r="S174" i="1"/>
  <c r="Q174" i="1"/>
  <c r="P174" i="1"/>
  <c r="O174" i="1"/>
  <c r="I174" i="1"/>
  <c r="S173" i="1"/>
  <c r="Q173" i="1"/>
  <c r="P173" i="1"/>
  <c r="O173" i="1"/>
  <c r="I173" i="1"/>
  <c r="S172" i="1"/>
  <c r="Q172" i="1"/>
  <c r="P172" i="1"/>
  <c r="O172" i="1"/>
  <c r="I172" i="1"/>
  <c r="S171" i="1"/>
  <c r="Q171" i="1"/>
  <c r="I171" i="1"/>
  <c r="S170" i="1"/>
  <c r="Q170" i="1"/>
  <c r="P170" i="1"/>
  <c r="O170" i="1"/>
  <c r="I170" i="1"/>
  <c r="S169" i="1"/>
  <c r="Q169" i="1"/>
  <c r="P169" i="1"/>
  <c r="O169" i="1"/>
  <c r="I169" i="1"/>
  <c r="S168" i="1"/>
  <c r="Q168" i="1"/>
  <c r="P168" i="1"/>
  <c r="O168" i="1"/>
  <c r="I168" i="1"/>
  <c r="S167" i="1"/>
  <c r="Q167" i="1"/>
  <c r="P167" i="1"/>
  <c r="O167" i="1"/>
  <c r="I167" i="1"/>
  <c r="S166" i="1"/>
  <c r="Q166" i="1"/>
  <c r="I166" i="1"/>
  <c r="S165" i="1"/>
  <c r="Q165" i="1"/>
  <c r="P165" i="1"/>
  <c r="O165" i="1"/>
  <c r="I165" i="1"/>
  <c r="S164" i="1"/>
  <c r="Q164" i="1"/>
  <c r="P164" i="1"/>
  <c r="O164" i="1"/>
  <c r="I164" i="1"/>
  <c r="S163" i="1"/>
  <c r="Q163" i="1"/>
  <c r="P163" i="1"/>
  <c r="O163" i="1"/>
  <c r="I163" i="1"/>
  <c r="S162" i="1"/>
  <c r="Q162" i="1"/>
  <c r="P162" i="1"/>
  <c r="O162" i="1"/>
  <c r="I162" i="1"/>
  <c r="S161" i="1"/>
  <c r="Q161" i="1"/>
  <c r="P161" i="1"/>
  <c r="O161" i="1"/>
  <c r="I161" i="1"/>
  <c r="S160" i="1"/>
  <c r="Q160" i="1"/>
  <c r="P160" i="1"/>
  <c r="O160" i="1"/>
  <c r="I160" i="1"/>
  <c r="S159" i="1"/>
  <c r="Q159" i="1"/>
  <c r="P159" i="1"/>
  <c r="O159" i="1"/>
  <c r="I159" i="1"/>
  <c r="S158" i="1"/>
  <c r="Q158" i="1"/>
  <c r="P158" i="1"/>
  <c r="O158" i="1"/>
  <c r="I158" i="1"/>
  <c r="S157" i="1"/>
  <c r="Q157" i="1"/>
  <c r="P157" i="1"/>
  <c r="O157" i="1"/>
  <c r="I157" i="1"/>
  <c r="S156" i="1"/>
  <c r="Q156" i="1"/>
  <c r="P156" i="1"/>
  <c r="O156" i="1"/>
  <c r="I156" i="1"/>
  <c r="S155" i="1"/>
  <c r="Q155" i="1"/>
  <c r="P155" i="1"/>
  <c r="O155" i="1"/>
  <c r="I155" i="1"/>
  <c r="S154" i="1"/>
  <c r="Q154" i="1"/>
  <c r="P154" i="1"/>
  <c r="O154" i="1"/>
  <c r="I154" i="1"/>
  <c r="S153" i="1"/>
  <c r="Q153" i="1"/>
  <c r="P153" i="1"/>
  <c r="O153" i="1"/>
  <c r="I153" i="1"/>
  <c r="S152" i="1"/>
  <c r="Q152" i="1"/>
  <c r="P152" i="1"/>
  <c r="O152" i="1"/>
  <c r="I152" i="1"/>
  <c r="S151" i="1"/>
  <c r="Q151" i="1"/>
  <c r="P151" i="1"/>
  <c r="O151" i="1"/>
  <c r="I151" i="1"/>
  <c r="S150" i="1"/>
  <c r="Q150" i="1"/>
  <c r="P150" i="1"/>
  <c r="O150" i="1"/>
  <c r="I150" i="1"/>
  <c r="S149" i="1"/>
  <c r="Q149" i="1"/>
  <c r="P149" i="1"/>
  <c r="O149" i="1"/>
  <c r="I149" i="1"/>
  <c r="S148" i="1"/>
  <c r="Q148" i="1"/>
  <c r="P148" i="1"/>
  <c r="O148" i="1"/>
  <c r="I148" i="1"/>
  <c r="S147" i="1"/>
  <c r="Q147" i="1"/>
  <c r="P147" i="1"/>
  <c r="O147" i="1"/>
  <c r="I147" i="1"/>
  <c r="S146" i="1"/>
  <c r="Q146" i="1"/>
  <c r="P146" i="1"/>
  <c r="O146" i="1"/>
  <c r="I146" i="1"/>
  <c r="S145" i="1"/>
  <c r="Q145" i="1"/>
  <c r="P145" i="1"/>
  <c r="O145" i="1"/>
  <c r="I145" i="1"/>
  <c r="S144" i="1"/>
  <c r="Q144" i="1"/>
  <c r="P144" i="1"/>
  <c r="O144" i="1"/>
  <c r="I144" i="1"/>
  <c r="S143" i="1"/>
  <c r="Q143" i="1"/>
  <c r="P143" i="1"/>
  <c r="O143" i="1"/>
  <c r="I143" i="1"/>
  <c r="S142" i="1"/>
  <c r="Q142" i="1"/>
  <c r="P142" i="1"/>
  <c r="O142" i="1"/>
  <c r="I142" i="1"/>
  <c r="S141" i="1"/>
  <c r="Q141" i="1"/>
  <c r="P141" i="1"/>
  <c r="O141" i="1"/>
  <c r="I141" i="1"/>
  <c r="S140" i="1"/>
  <c r="Q140" i="1"/>
  <c r="P140" i="1"/>
  <c r="O140" i="1"/>
  <c r="I140" i="1"/>
  <c r="S139" i="1"/>
  <c r="Q139" i="1"/>
  <c r="P139" i="1"/>
  <c r="O139" i="1"/>
  <c r="I139" i="1"/>
  <c r="S138" i="1"/>
  <c r="Q138" i="1"/>
  <c r="P138" i="1"/>
  <c r="O138" i="1"/>
  <c r="I138" i="1"/>
  <c r="S137" i="1"/>
  <c r="Q137" i="1"/>
  <c r="P137" i="1"/>
  <c r="O137" i="1"/>
  <c r="I137" i="1"/>
  <c r="S136" i="1"/>
  <c r="Q136" i="1"/>
  <c r="P136" i="1"/>
  <c r="O136" i="1"/>
  <c r="I136" i="1"/>
  <c r="S135" i="1"/>
  <c r="Q135" i="1"/>
  <c r="P135" i="1"/>
  <c r="O135" i="1"/>
  <c r="I135" i="1"/>
  <c r="S134" i="1"/>
  <c r="Q134" i="1"/>
  <c r="P134" i="1"/>
  <c r="O134" i="1"/>
  <c r="I134" i="1"/>
  <c r="S133" i="1"/>
  <c r="Q133" i="1"/>
  <c r="P133" i="1"/>
  <c r="O133" i="1"/>
  <c r="I133" i="1"/>
  <c r="S132" i="1"/>
  <c r="Q132" i="1"/>
  <c r="I132" i="1"/>
  <c r="S131" i="1"/>
  <c r="Q131" i="1"/>
  <c r="I131" i="1"/>
  <c r="S130" i="1"/>
  <c r="Q130" i="1"/>
  <c r="I130" i="1"/>
  <c r="Q129" i="1"/>
  <c r="V129" i="1" s="1"/>
  <c r="P129" i="1"/>
  <c r="O129" i="1"/>
  <c r="I129" i="1"/>
  <c r="S128" i="1"/>
  <c r="Q128" i="1"/>
  <c r="I128" i="1"/>
  <c r="S127" i="1"/>
  <c r="Q127" i="1"/>
  <c r="P127" i="1"/>
  <c r="O127" i="1"/>
  <c r="I127" i="1"/>
  <c r="S126" i="1"/>
  <c r="Q126" i="1"/>
  <c r="P126" i="1"/>
  <c r="O126" i="1"/>
  <c r="I126" i="1"/>
  <c r="S125" i="1"/>
  <c r="Q125" i="1"/>
  <c r="P125" i="1"/>
  <c r="O125" i="1"/>
  <c r="I125" i="1"/>
  <c r="S124" i="1"/>
  <c r="Q124" i="1"/>
  <c r="P124" i="1"/>
  <c r="O124" i="1"/>
  <c r="I124" i="1"/>
  <c r="S123" i="1"/>
  <c r="Q123" i="1"/>
  <c r="P123" i="1"/>
  <c r="O123" i="1"/>
  <c r="I123" i="1"/>
  <c r="S122" i="1"/>
  <c r="Q122" i="1"/>
  <c r="I122" i="1"/>
  <c r="S121" i="1"/>
  <c r="Q121" i="1"/>
  <c r="P121" i="1"/>
  <c r="O121" i="1"/>
  <c r="I121" i="1"/>
  <c r="S120" i="1"/>
  <c r="Q120" i="1"/>
  <c r="P120" i="1"/>
  <c r="O120" i="1"/>
  <c r="I120" i="1"/>
  <c r="S119" i="1"/>
  <c r="Q119" i="1"/>
  <c r="P119" i="1"/>
  <c r="O119" i="1"/>
  <c r="I119" i="1"/>
  <c r="S118" i="1"/>
  <c r="Q118" i="1"/>
  <c r="P118" i="1"/>
  <c r="O118" i="1"/>
  <c r="I118" i="1"/>
  <c r="S117" i="1"/>
  <c r="Q117" i="1"/>
  <c r="P117" i="1"/>
  <c r="O117" i="1"/>
  <c r="I117" i="1"/>
  <c r="S116" i="1"/>
  <c r="Q116" i="1"/>
  <c r="P116" i="1"/>
  <c r="O116" i="1"/>
  <c r="I116" i="1"/>
  <c r="S115" i="1"/>
  <c r="Q115" i="1"/>
  <c r="I115" i="1"/>
  <c r="S114" i="1"/>
  <c r="Q114" i="1"/>
  <c r="P114" i="1"/>
  <c r="O114" i="1"/>
  <c r="I114" i="1"/>
  <c r="S113" i="1"/>
  <c r="Q113" i="1"/>
  <c r="P113" i="1"/>
  <c r="O113" i="1"/>
  <c r="I113" i="1"/>
  <c r="S112" i="1"/>
  <c r="Q112" i="1"/>
  <c r="P112" i="1"/>
  <c r="O112" i="1"/>
  <c r="I112" i="1"/>
  <c r="S111" i="1"/>
  <c r="Q111" i="1"/>
  <c r="P111" i="1"/>
  <c r="O111" i="1"/>
  <c r="I111" i="1"/>
  <c r="S110" i="1"/>
  <c r="Q110" i="1"/>
  <c r="P110" i="1"/>
  <c r="O110" i="1"/>
  <c r="I110" i="1"/>
  <c r="S109" i="1"/>
  <c r="Q109" i="1"/>
  <c r="I109" i="1"/>
  <c r="S108" i="1"/>
  <c r="P108" i="1"/>
  <c r="O108" i="1"/>
  <c r="I108" i="1"/>
  <c r="S107" i="1"/>
  <c r="P107" i="1"/>
  <c r="O107" i="1"/>
  <c r="I107" i="1"/>
  <c r="S106" i="1"/>
  <c r="Q106" i="1"/>
  <c r="P106" i="1"/>
  <c r="O106" i="1"/>
  <c r="I106" i="1"/>
  <c r="S105" i="1"/>
  <c r="Q105" i="1"/>
  <c r="P105" i="1"/>
  <c r="O105" i="1"/>
  <c r="I105" i="1"/>
  <c r="S104" i="1"/>
  <c r="Q104" i="1"/>
  <c r="P104" i="1"/>
  <c r="O104" i="1"/>
  <c r="I104" i="1"/>
  <c r="S103" i="1"/>
  <c r="Q103" i="1"/>
  <c r="P103" i="1"/>
  <c r="O103" i="1"/>
  <c r="I103" i="1"/>
  <c r="S102" i="1"/>
  <c r="Q102" i="1"/>
  <c r="P102" i="1"/>
  <c r="O102" i="1"/>
  <c r="I102" i="1"/>
  <c r="S101" i="1"/>
  <c r="V101" i="1" s="1"/>
  <c r="I101" i="1"/>
  <c r="S100" i="1"/>
  <c r="Q100" i="1"/>
  <c r="P100" i="1"/>
  <c r="O100" i="1"/>
  <c r="I100" i="1"/>
  <c r="S99" i="1"/>
  <c r="Q99" i="1"/>
  <c r="P99" i="1"/>
  <c r="O99" i="1"/>
  <c r="I99" i="1"/>
  <c r="S98" i="1"/>
  <c r="Q98" i="1"/>
  <c r="P98" i="1"/>
  <c r="O98" i="1"/>
  <c r="I98" i="1"/>
  <c r="S97" i="1"/>
  <c r="Q97" i="1"/>
  <c r="P97" i="1"/>
  <c r="O97" i="1"/>
  <c r="I97" i="1"/>
  <c r="S96" i="1"/>
  <c r="Q96" i="1"/>
  <c r="P96" i="1"/>
  <c r="O96" i="1"/>
  <c r="I96" i="1"/>
  <c r="S95" i="1"/>
  <c r="Q95" i="1"/>
  <c r="P95" i="1"/>
  <c r="O95" i="1"/>
  <c r="I95" i="1"/>
  <c r="S94" i="1"/>
  <c r="I94" i="1"/>
  <c r="S93" i="1"/>
  <c r="P93" i="1"/>
  <c r="O93" i="1"/>
  <c r="I93" i="1"/>
  <c r="S92" i="1"/>
  <c r="Q92" i="1"/>
  <c r="P92" i="1"/>
  <c r="O92" i="1"/>
  <c r="I92" i="1"/>
  <c r="S91" i="1"/>
  <c r="Q91" i="1"/>
  <c r="I91" i="1"/>
  <c r="S90" i="1"/>
  <c r="Q90" i="1"/>
  <c r="P90" i="1"/>
  <c r="O90" i="1"/>
  <c r="I90" i="1"/>
  <c r="S89" i="1"/>
  <c r="Q89" i="1"/>
  <c r="P89" i="1"/>
  <c r="O89" i="1"/>
  <c r="I89" i="1"/>
  <c r="S88" i="1"/>
  <c r="Q88" i="1"/>
  <c r="I88" i="1"/>
  <c r="S87" i="1"/>
  <c r="Q87" i="1"/>
  <c r="P87" i="1"/>
  <c r="O87" i="1"/>
  <c r="I87" i="1"/>
  <c r="S86" i="1"/>
  <c r="Q86" i="1"/>
  <c r="P86" i="1"/>
  <c r="O86" i="1"/>
  <c r="I86" i="1"/>
  <c r="S85" i="1"/>
  <c r="Q85" i="1"/>
  <c r="P85" i="1"/>
  <c r="O85" i="1"/>
  <c r="I85" i="1"/>
  <c r="S84" i="1"/>
  <c r="Q84" i="1"/>
  <c r="P84" i="1"/>
  <c r="O84" i="1"/>
  <c r="I84" i="1"/>
  <c r="S83" i="1"/>
  <c r="Q83" i="1"/>
  <c r="P83" i="1"/>
  <c r="O83" i="1"/>
  <c r="I83" i="1"/>
  <c r="S82" i="1"/>
  <c r="P82" i="1"/>
  <c r="O82" i="1"/>
  <c r="I82" i="1"/>
  <c r="S81" i="1"/>
  <c r="Q81" i="1"/>
  <c r="P81" i="1"/>
  <c r="O81" i="1"/>
  <c r="I81" i="1"/>
  <c r="S80" i="1"/>
  <c r="Q80" i="1"/>
  <c r="P80" i="1"/>
  <c r="O80" i="1"/>
  <c r="I80" i="1"/>
  <c r="S79" i="1"/>
  <c r="Q79" i="1"/>
  <c r="P79" i="1"/>
  <c r="O79" i="1"/>
  <c r="I79" i="1"/>
  <c r="S78" i="1"/>
  <c r="Q78" i="1"/>
  <c r="P78" i="1"/>
  <c r="O78" i="1"/>
  <c r="I78" i="1"/>
  <c r="S77" i="1"/>
  <c r="Q77" i="1"/>
  <c r="P77" i="1"/>
  <c r="O77" i="1"/>
  <c r="I77" i="1"/>
  <c r="S76" i="1"/>
  <c r="Q76" i="1"/>
  <c r="P76" i="1"/>
  <c r="O76" i="1"/>
  <c r="I76" i="1"/>
  <c r="S75" i="1"/>
  <c r="Q75" i="1"/>
  <c r="P75" i="1"/>
  <c r="O75" i="1"/>
  <c r="I75" i="1"/>
  <c r="S74" i="1"/>
  <c r="Q74" i="1"/>
  <c r="P74" i="1"/>
  <c r="O74" i="1"/>
  <c r="I74" i="1"/>
  <c r="S73" i="1"/>
  <c r="Q73" i="1"/>
  <c r="P73" i="1"/>
  <c r="O73" i="1"/>
  <c r="I73" i="1"/>
  <c r="S72" i="1"/>
  <c r="Q72" i="1"/>
  <c r="P72" i="1"/>
  <c r="O72" i="1"/>
  <c r="I72" i="1"/>
  <c r="S71" i="1"/>
  <c r="V71" i="1" s="1"/>
  <c r="P71" i="1"/>
  <c r="O71" i="1"/>
  <c r="I71" i="1"/>
  <c r="S70" i="1"/>
  <c r="Q70" i="1"/>
  <c r="P70" i="1"/>
  <c r="O70" i="1"/>
  <c r="I70" i="1"/>
  <c r="S69" i="1"/>
  <c r="Q69" i="1"/>
  <c r="P69" i="1"/>
  <c r="O69" i="1"/>
  <c r="I69" i="1"/>
  <c r="S68" i="1"/>
  <c r="Q68" i="1"/>
  <c r="P68" i="1"/>
  <c r="O68" i="1"/>
  <c r="I68" i="1"/>
  <c r="S67" i="1"/>
  <c r="Q67" i="1"/>
  <c r="P67" i="1"/>
  <c r="O67" i="1"/>
  <c r="I67" i="1"/>
  <c r="S66" i="1"/>
  <c r="Q66" i="1"/>
  <c r="P66" i="1"/>
  <c r="O66" i="1"/>
  <c r="I66" i="1"/>
  <c r="S65" i="1"/>
  <c r="Q65" i="1"/>
  <c r="P65" i="1"/>
  <c r="O65" i="1"/>
  <c r="I65" i="1"/>
  <c r="S64" i="1"/>
  <c r="Q64" i="1"/>
  <c r="P64" i="1"/>
  <c r="O64" i="1"/>
  <c r="I64" i="1"/>
  <c r="S63" i="1"/>
  <c r="Q63" i="1"/>
  <c r="I63" i="1"/>
  <c r="S62" i="1"/>
  <c r="Q62" i="1"/>
  <c r="I62" i="1"/>
  <c r="S61" i="1"/>
  <c r="Q61" i="1"/>
  <c r="I61" i="1"/>
  <c r="S60" i="1"/>
  <c r="Q60" i="1"/>
  <c r="I60" i="1"/>
  <c r="S59" i="1"/>
  <c r="Q59" i="1"/>
  <c r="I59" i="1"/>
  <c r="S58" i="1"/>
  <c r="Q58" i="1"/>
  <c r="I58" i="1"/>
  <c r="S57" i="1"/>
  <c r="Q57" i="1"/>
  <c r="I57" i="1"/>
  <c r="S56" i="1"/>
  <c r="Q56" i="1"/>
  <c r="I56" i="1"/>
  <c r="S55" i="1"/>
  <c r="Q55" i="1"/>
  <c r="P55" i="1"/>
  <c r="O55" i="1"/>
  <c r="I55" i="1"/>
  <c r="S54" i="1"/>
  <c r="Q54" i="1"/>
  <c r="I54" i="1"/>
  <c r="S53" i="1"/>
  <c r="Q53" i="1"/>
  <c r="I53" i="1"/>
  <c r="S52" i="1"/>
  <c r="Q52" i="1"/>
  <c r="I52" i="1"/>
  <c r="S51" i="1"/>
  <c r="Q51" i="1"/>
  <c r="I51" i="1"/>
  <c r="S50" i="1"/>
  <c r="Q50" i="1"/>
  <c r="P50" i="1"/>
  <c r="O50" i="1"/>
  <c r="I50" i="1"/>
  <c r="S49" i="1"/>
  <c r="Q49" i="1"/>
  <c r="I49" i="1"/>
  <c r="S48" i="1"/>
  <c r="Q48" i="1"/>
  <c r="P48" i="1"/>
  <c r="O48" i="1"/>
  <c r="I48" i="1"/>
  <c r="S47" i="1"/>
  <c r="Q47" i="1"/>
  <c r="I47" i="1"/>
  <c r="S46" i="1"/>
  <c r="Q46" i="1"/>
  <c r="I46" i="1"/>
  <c r="S45" i="1"/>
  <c r="Q45" i="1"/>
  <c r="I45" i="1"/>
  <c r="S44" i="1"/>
  <c r="Q44" i="1"/>
  <c r="P44" i="1"/>
  <c r="O44" i="1"/>
  <c r="I44" i="1"/>
  <c r="S43" i="1"/>
  <c r="Q43" i="1"/>
  <c r="I43" i="1"/>
  <c r="S42" i="1"/>
  <c r="Q42" i="1"/>
  <c r="P42" i="1"/>
  <c r="O42" i="1"/>
  <c r="I42" i="1"/>
  <c r="S41" i="1"/>
  <c r="Q41" i="1"/>
  <c r="I41" i="1"/>
  <c r="S40" i="1"/>
  <c r="Q40" i="1"/>
  <c r="I40" i="1"/>
  <c r="S39" i="1"/>
  <c r="Q39" i="1"/>
  <c r="I39" i="1"/>
  <c r="S38" i="1"/>
  <c r="Q38" i="1"/>
  <c r="I38" i="1"/>
  <c r="S37" i="1"/>
  <c r="Q37" i="1"/>
  <c r="I37" i="1"/>
  <c r="S36" i="1"/>
  <c r="Q36" i="1"/>
  <c r="I36" i="1"/>
  <c r="S35" i="1"/>
  <c r="Q35" i="1"/>
  <c r="I35" i="1"/>
  <c r="S34" i="1"/>
  <c r="Q34" i="1"/>
  <c r="I34" i="1"/>
  <c r="S33" i="1"/>
  <c r="Q33" i="1"/>
  <c r="I33" i="1"/>
  <c r="S32" i="1"/>
  <c r="Q32" i="1"/>
  <c r="I32" i="1"/>
  <c r="S31" i="1"/>
  <c r="Q31" i="1"/>
  <c r="I31" i="1"/>
  <c r="S30" i="1"/>
  <c r="Q30" i="1"/>
  <c r="P30" i="1"/>
  <c r="O30" i="1"/>
  <c r="I30" i="1"/>
  <c r="S29" i="1"/>
  <c r="Q29" i="1"/>
  <c r="I29" i="1"/>
  <c r="S28" i="1"/>
  <c r="Q28" i="1"/>
  <c r="I28" i="1"/>
  <c r="S27" i="1"/>
  <c r="Q27" i="1"/>
  <c r="I27" i="1"/>
  <c r="S26" i="1"/>
  <c r="Q26" i="1"/>
  <c r="I26" i="1"/>
  <c r="S25" i="1"/>
  <c r="Q25" i="1"/>
  <c r="P25" i="1"/>
  <c r="O25" i="1"/>
  <c r="I25" i="1"/>
  <c r="S24" i="1"/>
  <c r="Q24" i="1"/>
  <c r="P24" i="1"/>
  <c r="O24" i="1"/>
  <c r="I24" i="1"/>
  <c r="S23" i="1"/>
  <c r="Q23" i="1"/>
  <c r="P23" i="1"/>
  <c r="O23" i="1"/>
  <c r="I23" i="1"/>
  <c r="S22" i="1"/>
  <c r="Q22" i="1"/>
  <c r="I22" i="1"/>
  <c r="S21" i="1"/>
  <c r="Q21" i="1"/>
  <c r="I21" i="1"/>
  <c r="S20" i="1"/>
  <c r="Q20" i="1"/>
  <c r="I20" i="1"/>
  <c r="S19" i="1"/>
  <c r="Q19" i="1"/>
  <c r="I19" i="1"/>
  <c r="S18" i="1"/>
  <c r="Q18" i="1"/>
  <c r="I18" i="1"/>
  <c r="S17" i="1"/>
  <c r="Q17" i="1"/>
  <c r="P17" i="1"/>
  <c r="O17" i="1"/>
  <c r="I17" i="1"/>
  <c r="S16" i="1"/>
  <c r="Q16" i="1"/>
  <c r="P16" i="1"/>
  <c r="O16" i="1"/>
  <c r="I16" i="1"/>
  <c r="S15" i="1"/>
  <c r="Q15" i="1"/>
  <c r="I15" i="1"/>
  <c r="S14" i="1"/>
  <c r="Q14" i="1"/>
  <c r="I14" i="1"/>
  <c r="S13" i="1"/>
  <c r="Q13" i="1"/>
  <c r="I13" i="1"/>
  <c r="S12" i="1"/>
  <c r="Q12" i="1"/>
  <c r="I12" i="1"/>
  <c r="S11" i="1"/>
  <c r="Q11" i="1"/>
  <c r="P11" i="1"/>
  <c r="O11" i="1"/>
  <c r="I11" i="1"/>
  <c r="S10" i="1"/>
  <c r="Q10" i="1"/>
  <c r="I10" i="1"/>
  <c r="S9" i="1"/>
  <c r="Q9" i="1"/>
  <c r="I9" i="1"/>
  <c r="S8" i="1"/>
  <c r="Q8" i="1"/>
  <c r="I8" i="1"/>
  <c r="S7" i="1"/>
  <c r="Q7" i="1"/>
  <c r="P7" i="1"/>
  <c r="O7" i="1"/>
  <c r="I7" i="1"/>
  <c r="S6" i="1"/>
  <c r="Q6" i="1"/>
  <c r="P6" i="1"/>
  <c r="O6" i="1"/>
  <c r="I6" i="1"/>
  <c r="V5" i="1"/>
  <c r="I5" i="1"/>
  <c r="S4" i="1"/>
  <c r="V4" i="1" s="1"/>
  <c r="I4" i="1"/>
  <c r="S3" i="1"/>
  <c r="I3" i="1"/>
  <c r="S2" i="1"/>
  <c r="V2" i="1" s="1"/>
  <c r="V465" i="1" l="1"/>
  <c r="V457" i="1"/>
  <c r="V459" i="1"/>
  <c r="V458" i="1"/>
  <c r="V466" i="1"/>
  <c r="V456" i="1"/>
  <c r="V460" i="1"/>
  <c r="V468" i="1"/>
  <c r="V470" i="1"/>
  <c r="V471" i="1"/>
  <c r="V472" i="1"/>
  <c r="V473" i="1"/>
  <c r="V474" i="1"/>
  <c r="V475" i="1"/>
  <c r="V476" i="1"/>
  <c r="V477" i="1"/>
  <c r="V478" i="1"/>
  <c r="V462" i="1"/>
  <c r="V463" i="1"/>
  <c r="V464" i="1"/>
  <c r="V469" i="1"/>
  <c r="V447" i="1"/>
  <c r="V384" i="1"/>
  <c r="V193" i="1"/>
  <c r="V236" i="1"/>
  <c r="V358" i="1"/>
  <c r="V103" i="1"/>
  <c r="V316" i="1"/>
  <c r="V273" i="1"/>
  <c r="V230" i="1"/>
  <c r="V368" i="1"/>
  <c r="V415" i="1"/>
  <c r="V30" i="1"/>
  <c r="V367" i="1"/>
  <c r="V444" i="1"/>
  <c r="V86" i="1"/>
  <c r="V133" i="1"/>
  <c r="V134" i="1"/>
  <c r="V166" i="1"/>
  <c r="V124" i="1"/>
  <c r="V148" i="1"/>
  <c r="V99" i="1"/>
  <c r="V152" i="1"/>
  <c r="V182" i="1"/>
  <c r="V34" i="1"/>
  <c r="V33" i="1"/>
  <c r="V37" i="1"/>
  <c r="V70" i="1"/>
  <c r="V88" i="1"/>
  <c r="V163" i="1"/>
  <c r="V165" i="1"/>
  <c r="V238" i="1"/>
  <c r="V267" i="1"/>
  <c r="V245" i="1"/>
  <c r="V254" i="1"/>
  <c r="V278" i="1"/>
  <c r="V281" i="1"/>
  <c r="V331" i="1"/>
  <c r="V213" i="1"/>
  <c r="V262" i="1"/>
  <c r="V417" i="1"/>
  <c r="V416" i="1"/>
  <c r="V445" i="1"/>
  <c r="V36" i="1"/>
  <c r="V32" i="1"/>
  <c r="V31" i="1"/>
  <c r="V35" i="1"/>
  <c r="V48" i="1"/>
  <c r="V20" i="1"/>
  <c r="V26" i="1"/>
  <c r="V28" i="1"/>
  <c r="V38" i="1"/>
  <c r="V42" i="1"/>
  <c r="V43" i="1"/>
  <c r="V44" i="1"/>
  <c r="V49" i="1"/>
  <c r="V63" i="1"/>
  <c r="V64" i="1"/>
  <c r="V69" i="1"/>
  <c r="V75" i="1"/>
  <c r="V77" i="1"/>
  <c r="V78" i="1"/>
  <c r="V89" i="1"/>
  <c r="V97" i="1"/>
  <c r="V105" i="1"/>
  <c r="V113" i="1"/>
  <c r="V115" i="1"/>
  <c r="V119" i="1"/>
  <c r="V121" i="1"/>
  <c r="V122" i="1"/>
  <c r="V127" i="1"/>
  <c r="V132" i="1"/>
  <c r="V135" i="1"/>
  <c r="V145" i="1"/>
  <c r="V147" i="1"/>
  <c r="V151" i="1"/>
  <c r="V160" i="1"/>
  <c r="V198" i="1"/>
  <c r="V65" i="1"/>
  <c r="V90" i="1"/>
  <c r="V106" i="1"/>
  <c r="V111" i="1"/>
  <c r="V114" i="1"/>
  <c r="V116" i="1"/>
  <c r="V120" i="1"/>
  <c r="V144" i="1"/>
  <c r="V159" i="1"/>
  <c r="V170" i="1"/>
  <c r="V180" i="1"/>
  <c r="V243" i="1"/>
  <c r="V67" i="1"/>
  <c r="V79" i="1"/>
  <c r="V95" i="1"/>
  <c r="V8" i="1"/>
  <c r="V13" i="1"/>
  <c r="V19" i="1"/>
  <c r="V25" i="1"/>
  <c r="V27" i="1"/>
  <c r="V46" i="1"/>
  <c r="V50" i="1"/>
  <c r="V51" i="1"/>
  <c r="V52" i="1"/>
  <c r="V61" i="1"/>
  <c r="V72" i="1"/>
  <c r="V74" i="1"/>
  <c r="V81" i="1"/>
  <c r="V83" i="1"/>
  <c r="V85" i="1"/>
  <c r="V91" i="1"/>
  <c r="V98" i="1"/>
  <c r="V102" i="1"/>
  <c r="V112" i="1"/>
  <c r="V118" i="1"/>
  <c r="V123" i="1"/>
  <c r="V126" i="1"/>
  <c r="V128" i="1"/>
  <c r="V131" i="1"/>
  <c r="V143" i="1"/>
  <c r="V149" i="1"/>
  <c r="V153" i="1"/>
  <c r="V154" i="1"/>
  <c r="V157" i="1"/>
  <c r="V162" i="1"/>
  <c r="V169" i="1"/>
  <c r="V179" i="1"/>
  <c r="V183" i="1"/>
  <c r="V195" i="1"/>
  <c r="V202" i="1"/>
  <c r="V204" i="1"/>
  <c r="V206" i="1"/>
  <c r="V211" i="1"/>
  <c r="V222" i="1"/>
  <c r="V224" i="1"/>
  <c r="V228" i="1"/>
  <c r="V231" i="1"/>
  <c r="V233" i="1"/>
  <c r="V247" i="1"/>
  <c r="V250" i="1"/>
  <c r="V257" i="1"/>
  <c r="V212" i="1"/>
  <c r="V215" i="1"/>
  <c r="V221" i="1"/>
  <c r="V225" i="1"/>
  <c r="V234" i="1"/>
  <c r="V235" i="1"/>
  <c r="V237" i="1"/>
  <c r="V181" i="1"/>
  <c r="V189" i="1"/>
  <c r="V191" i="1"/>
  <c r="V196" i="1"/>
  <c r="V199" i="1"/>
  <c r="V203" i="1"/>
  <c r="V205" i="1"/>
  <c r="V210" i="1"/>
  <c r="V214" i="1"/>
  <c r="V217" i="1"/>
  <c r="V218" i="1"/>
  <c r="V220" i="1"/>
  <c r="V223" i="1"/>
  <c r="V248" i="1"/>
  <c r="V274" i="1"/>
  <c r="V283" i="1"/>
  <c r="V285" i="1"/>
  <c r="V266" i="1"/>
  <c r="V269" i="1"/>
  <c r="V280" i="1"/>
  <c r="V282" i="1"/>
  <c r="V287" i="1"/>
  <c r="V290" i="1"/>
  <c r="V297" i="1"/>
  <c r="V302" i="1"/>
  <c r="V306" i="1"/>
  <c r="V315" i="1"/>
  <c r="V320" i="1"/>
  <c r="V324" i="1"/>
  <c r="V326" i="1"/>
  <c r="V342" i="1"/>
  <c r="V350" i="1"/>
  <c r="V372" i="1"/>
  <c r="V261" i="1"/>
  <c r="V277" i="1"/>
  <c r="V286" i="1"/>
  <c r="V288" i="1"/>
  <c r="V294" i="1"/>
  <c r="V295" i="1"/>
  <c r="V304" i="1"/>
  <c r="V309" i="1"/>
  <c r="V323" i="1"/>
  <c r="V325" i="1"/>
  <c r="V335" i="1"/>
  <c r="V336" i="1"/>
  <c r="V351" i="1"/>
  <c r="V366" i="1"/>
  <c r="V369" i="1"/>
  <c r="V370" i="1"/>
  <c r="V349" i="1"/>
  <c r="V355" i="1"/>
  <c r="V361" i="1"/>
  <c r="V419" i="1"/>
  <c r="V420" i="1"/>
  <c r="V418" i="1"/>
  <c r="V446" i="1"/>
  <c r="V421" i="1"/>
  <c r="V443" i="1"/>
  <c r="V422" i="1"/>
  <c r="V455" i="1"/>
  <c r="V108" i="1"/>
  <c r="V136" i="1"/>
  <c r="V138" i="1"/>
  <c r="V140" i="1"/>
  <c r="V142" i="1"/>
  <c r="V10" i="1"/>
  <c r="V12" i="1"/>
  <c r="V17" i="1"/>
  <c r="V21" i="1"/>
  <c r="V23" i="1"/>
  <c r="V29" i="1"/>
  <c r="V45" i="1"/>
  <c r="V58" i="1"/>
  <c r="V60" i="1"/>
  <c r="V68" i="1"/>
  <c r="V87" i="1"/>
  <c r="V92" i="1"/>
  <c r="V100" i="1"/>
  <c r="V104" i="1"/>
  <c r="V117" i="1"/>
  <c r="V125" i="1"/>
  <c r="V93" i="1"/>
  <c r="V94" i="1"/>
  <c r="V137" i="1"/>
  <c r="V139" i="1"/>
  <c r="V141" i="1"/>
  <c r="V7" i="1"/>
  <c r="V9" i="1"/>
  <c r="V18" i="1"/>
  <c r="V22" i="1"/>
  <c r="V39" i="1"/>
  <c r="V40" i="1"/>
  <c r="V41" i="1"/>
  <c r="V47" i="1"/>
  <c r="V53" i="1"/>
  <c r="V54" i="1"/>
  <c r="V59" i="1"/>
  <c r="V62" i="1"/>
  <c r="V66" i="1"/>
  <c r="V73" i="1"/>
  <c r="V76" i="1"/>
  <c r="V80" i="1"/>
  <c r="V84" i="1"/>
  <c r="V96" i="1"/>
  <c r="V109" i="1"/>
  <c r="V110" i="1"/>
  <c r="V130" i="1"/>
  <c r="V172" i="1"/>
  <c r="V174" i="1"/>
  <c r="V176" i="1"/>
  <c r="V185" i="1"/>
  <c r="V187" i="1"/>
  <c r="V188" i="1"/>
  <c r="V14" i="1"/>
  <c r="V15" i="1"/>
  <c r="V3" i="1"/>
  <c r="V146" i="1"/>
  <c r="V208" i="1"/>
  <c r="V219" i="1"/>
  <c r="V229" i="1"/>
  <c r="V11" i="1"/>
  <c r="V16" i="1"/>
  <c r="V24" i="1"/>
  <c r="V55" i="1"/>
  <c r="V56" i="1"/>
  <c r="V57" i="1"/>
  <c r="V82" i="1"/>
  <c r="V107" i="1"/>
  <c r="V150" i="1"/>
  <c r="V156" i="1"/>
  <c r="V158" i="1"/>
  <c r="V161" i="1"/>
  <c r="V168" i="1"/>
  <c r="V171" i="1"/>
  <c r="V173" i="1"/>
  <c r="V175" i="1"/>
  <c r="V184" i="1"/>
  <c r="V186" i="1"/>
  <c r="V227" i="1"/>
  <c r="V6" i="1"/>
  <c r="V155" i="1"/>
  <c r="V164" i="1"/>
  <c r="V167" i="1"/>
  <c r="V192" i="1"/>
  <c r="V194" i="1"/>
  <c r="V207" i="1"/>
  <c r="V226" i="1"/>
  <c r="V177" i="1"/>
  <c r="V190" i="1"/>
  <c r="V216" i="1"/>
  <c r="V265" i="1"/>
  <c r="V268" i="1"/>
  <c r="V270" i="1"/>
  <c r="V178" i="1"/>
  <c r="V197" i="1"/>
  <c r="V201" i="1"/>
  <c r="V232" i="1"/>
  <c r="V239" i="1"/>
  <c r="V289" i="1"/>
  <c r="V298" i="1"/>
  <c r="V303" i="1"/>
  <c r="V308" i="1"/>
  <c r="V258" i="1"/>
  <c r="V313" i="1"/>
  <c r="V319" i="1"/>
  <c r="V209" i="1"/>
  <c r="V246" i="1"/>
  <c r="V249" i="1"/>
  <c r="V251" i="1"/>
  <c r="V260" i="1"/>
  <c r="V314" i="1"/>
  <c r="V317" i="1"/>
  <c r="V242" i="1"/>
  <c r="V244" i="1"/>
  <c r="V252" i="1"/>
  <c r="V253" i="1"/>
  <c r="V255" i="1"/>
  <c r="V256" i="1"/>
  <c r="V291" i="1"/>
  <c r="V292" i="1"/>
  <c r="V293" i="1"/>
  <c r="V296" i="1"/>
  <c r="V305" i="1"/>
  <c r="V263" i="1"/>
  <c r="V272" i="1"/>
  <c r="V279" i="1"/>
  <c r="V321" i="1"/>
  <c r="V327" i="1"/>
  <c r="V338" i="1"/>
  <c r="V339" i="1"/>
  <c r="V340" i="1"/>
  <c r="V341" i="1"/>
  <c r="V374" i="1"/>
  <c r="V259" i="1"/>
  <c r="V264" i="1"/>
  <c r="V271" i="1"/>
  <c r="V284" i="1"/>
  <c r="V311" i="1"/>
  <c r="V312" i="1"/>
  <c r="V318" i="1"/>
  <c r="V322" i="1"/>
  <c r="V328" i="1"/>
  <c r="V330" i="1"/>
  <c r="V354" i="1"/>
  <c r="V371" i="1"/>
  <c r="V275" i="1"/>
  <c r="V276" i="1"/>
  <c r="V299" i="1"/>
  <c r="V300" i="1"/>
  <c r="V301" i="1"/>
  <c r="V307" i="1"/>
  <c r="V310" i="1"/>
  <c r="V333" i="1"/>
  <c r="V329" i="1"/>
  <c r="V373" i="1"/>
  <c r="V377" i="1"/>
  <c r="V332" i="1"/>
  <c r="V381" i="1"/>
  <c r="V382" i="1"/>
  <c r="V357" i="1"/>
  <c r="V385" i="1"/>
  <c r="V386" i="1"/>
  <c r="V334" i="1"/>
  <c r="V343" i="1"/>
  <c r="V344" i="1"/>
  <c r="V345" i="1"/>
  <c r="V346" i="1"/>
  <c r="V347" i="1"/>
  <c r="V360" i="1"/>
  <c r="V363" i="1"/>
  <c r="V364" i="1"/>
  <c r="V365" i="1"/>
  <c r="V375" i="1"/>
  <c r="V362" i="1"/>
  <c r="V390" i="1"/>
  <c r="V391" i="1"/>
  <c r="V392" i="1"/>
  <c r="V393" i="1"/>
  <c r="V394" i="1"/>
  <c r="V395" i="1"/>
  <c r="V396" i="1"/>
  <c r="V397" i="1"/>
  <c r="V398" i="1"/>
  <c r="V352" i="1"/>
  <c r="V353" i="1"/>
  <c r="V356" i="1"/>
  <c r="V359" i="1"/>
  <c r="V376" i="1"/>
  <c r="V378" i="1"/>
  <c r="V383" i="1"/>
  <c r="V379" i="1"/>
  <c r="V380" i="1"/>
  <c r="V387" i="1"/>
  <c r="V348" i="1"/>
  <c r="V410" i="1"/>
  <c r="V411" i="1"/>
  <c r="V412" i="1"/>
  <c r="V413" i="1"/>
  <c r="V401" i="1"/>
  <c r="V402" i="1"/>
  <c r="V403" i="1"/>
  <c r="V404" i="1"/>
  <c r="V405" i="1"/>
  <c r="V414" i="1"/>
  <c r="V389" i="1"/>
  <c r="V423" i="1"/>
  <c r="V424" i="1"/>
  <c r="V388" i="1"/>
  <c r="V399" i="1"/>
  <c r="V400" i="1"/>
  <c r="V406" i="1"/>
  <c r="V407" i="1"/>
  <c r="V408" i="1"/>
  <c r="V409" i="1"/>
  <c r="V432" i="1"/>
  <c r="V454" i="1"/>
  <c r="V425" i="1"/>
  <c r="V426" i="1"/>
  <c r="V427" i="1"/>
  <c r="V428" i="1"/>
  <c r="V429" i="1"/>
  <c r="V441" i="1"/>
  <c r="V442" i="1"/>
  <c r="V430" i="1"/>
  <c r="V431" i="1"/>
  <c r="V433" i="1"/>
  <c r="V434" i="1"/>
  <c r="V435" i="1"/>
  <c r="V436" i="1"/>
  <c r="V437" i="1"/>
  <c r="V438" i="1"/>
  <c r="V439" i="1"/>
  <c r="V440" i="1"/>
  <c r="V448" i="1"/>
  <c r="V449" i="1"/>
  <c r="V450" i="1"/>
  <c r="V451" i="1"/>
  <c r="V452" i="1"/>
</calcChain>
</file>

<file path=xl/sharedStrings.xml><?xml version="1.0" encoding="utf-8"?>
<sst xmlns="http://schemas.openxmlformats.org/spreadsheetml/2006/main" count="25" uniqueCount="25">
  <si>
    <t>HR rest</t>
  </si>
  <si>
    <t>SBP rest</t>
  </si>
  <si>
    <t>DBP rest</t>
  </si>
  <si>
    <t>WMSI  rest</t>
  </si>
  <si>
    <t>LAD at rest</t>
  </si>
  <si>
    <t>B-lines at rest</t>
  </si>
  <si>
    <t>GLS rest</t>
  </si>
  <si>
    <t>HR stress</t>
  </si>
  <si>
    <t>HRR</t>
  </si>
  <si>
    <t>HRR range</t>
  </si>
  <si>
    <t>WMSI stress</t>
  </si>
  <si>
    <t>LAD stress</t>
  </si>
  <si>
    <t>B-lines stress</t>
  </si>
  <si>
    <t>GLS stress-</t>
  </si>
  <si>
    <t>GLS reserve</t>
  </si>
  <si>
    <t>GLS delta</t>
  </si>
  <si>
    <t>B range</t>
  </si>
  <si>
    <t>D WMSI</t>
  </si>
  <si>
    <t>WMSI range</t>
  </si>
  <si>
    <t>LV CR range</t>
  </si>
  <si>
    <t>СFVR range</t>
  </si>
  <si>
    <t>ABCDE score</t>
  </si>
  <si>
    <t>ABCDE score+ECG</t>
  </si>
  <si>
    <t>ABCDE score+ECG+angina</t>
  </si>
  <si>
    <t>FU1+2+3+4 coronary event (Death+AMI+ACS+Revasc)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</si>
</sst>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€ &quot;* #,##0.00_-;&quot;-€ &quot;* #,##0.00_-;_-&quot;€ &quot;* \-??_-;_-@_-"/>
    <numFmt numFmtId="165" formatCode="_-* #,##0.00_-;\-* #,##0.00_-;_-* \-??_-;_-@_-"/>
    <numFmt numFmtId="166" formatCode="0.0"/>
  </numFmts>
  <fonts count="8" x14ac:knownFonts="1"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87182226020086"/>
        <bgColor rgb="FFCCCCFF"/>
      </patternFill>
    </fill>
    <fill>
      <patternFill patternType="solid">
        <fgColor theme="5" tint="0.59987182226020086"/>
        <b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6B9B8"/>
      </patternFill>
    </fill>
    <fill>
      <patternFill patternType="solid">
        <fgColor theme="5" tint="0.59999389629810485"/>
        <bgColor rgb="FFCCCCFF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7" fillId="0" borderId="0" applyBorder="0" applyProtection="0"/>
    <xf numFmtId="0" fontId="1" fillId="0" borderId="0"/>
    <xf numFmtId="0" fontId="2" fillId="0" borderId="0"/>
    <xf numFmtId="165" fontId="7" fillId="0" borderId="0" applyBorder="0" applyProtection="0"/>
  </cellStyleXfs>
  <cellXfs count="53">
    <xf numFmtId="0" fontId="0" fillId="0" borderId="0" xfId="0"/>
    <xf numFmtId="0" fontId="0" fillId="0" borderId="0" xfId="0"/>
    <xf numFmtId="1" fontId="0" fillId="0" borderId="0" xfId="0" applyNumberFormat="1"/>
    <xf numFmtId="2" fontId="0" fillId="2" borderId="0" xfId="0" applyNumberFormat="1" applyFill="1"/>
    <xf numFmtId="2" fontId="0" fillId="0" borderId="0" xfId="0" applyNumberFormat="1"/>
    <xf numFmtId="166" fontId="0" fillId="0" borderId="0" xfId="0" applyNumberFormat="1"/>
    <xf numFmtId="1" fontId="0" fillId="2" borderId="0" xfId="0" applyNumberFormat="1" applyFill="1"/>
    <xf numFmtId="0" fontId="3" fillId="3" borderId="0" xfId="0" applyFont="1" applyFill="1" applyBorder="1" applyAlignment="1"/>
    <xf numFmtId="1" fontId="3" fillId="3" borderId="0" xfId="0" applyNumberFormat="1" applyFont="1" applyFill="1" applyBorder="1" applyAlignment="1"/>
    <xf numFmtId="2" fontId="3" fillId="3" borderId="0" xfId="0" applyNumberFormat="1" applyFont="1" applyFill="1" applyBorder="1" applyAlignment="1"/>
    <xf numFmtId="166" fontId="3" fillId="3" borderId="0" xfId="0" applyNumberFormat="1" applyFont="1" applyFill="1" applyBorder="1" applyAlignment="1"/>
    <xf numFmtId="0" fontId="3" fillId="3" borderId="0" xfId="0" applyFont="1" applyFill="1"/>
    <xf numFmtId="0" fontId="4" fillId="0" borderId="0" xfId="0" applyFont="1" applyBorder="1" applyAlignment="1"/>
    <xf numFmtId="1" fontId="4" fillId="0" borderId="0" xfId="0" applyNumberFormat="1" applyFont="1" applyBorder="1" applyAlignment="1"/>
    <xf numFmtId="2" fontId="4" fillId="2" borderId="0" xfId="0" applyNumberFormat="1" applyFont="1" applyFill="1" applyBorder="1" applyAlignment="1"/>
    <xf numFmtId="2" fontId="4" fillId="0" borderId="0" xfId="0" applyNumberFormat="1" applyFont="1" applyBorder="1" applyAlignment="1"/>
    <xf numFmtId="166" fontId="4" fillId="0" borderId="0" xfId="0" applyNumberFormat="1" applyFont="1" applyBorder="1" applyAlignment="1"/>
    <xf numFmtId="1" fontId="4" fillId="2" borderId="0" xfId="0" applyNumberFormat="1" applyFont="1" applyFill="1" applyBorder="1" applyAlignment="1"/>
    <xf numFmtId="2" fontId="4" fillId="2" borderId="0" xfId="0" applyNumberFormat="1" applyFont="1" applyFill="1"/>
    <xf numFmtId="0" fontId="4" fillId="0" borderId="0" xfId="0" applyFont="1"/>
    <xf numFmtId="0" fontId="4" fillId="3" borderId="0" xfId="0" applyFont="1" applyFill="1" applyBorder="1" applyAlignment="1"/>
    <xf numFmtId="1" fontId="4" fillId="3" borderId="0" xfId="0" applyNumberFormat="1" applyFont="1" applyFill="1" applyBorder="1" applyAlignment="1"/>
    <xf numFmtId="2" fontId="4" fillId="3" borderId="0" xfId="0" applyNumberFormat="1" applyFont="1" applyFill="1" applyBorder="1" applyAlignment="1"/>
    <xf numFmtId="166" fontId="4" fillId="3" borderId="0" xfId="0" applyNumberFormat="1" applyFont="1" applyFill="1" applyBorder="1" applyAlignment="1"/>
    <xf numFmtId="2" fontId="4" fillId="3" borderId="0" xfId="0" applyNumberFormat="1" applyFont="1" applyFill="1"/>
    <xf numFmtId="0" fontId="4" fillId="3" borderId="0" xfId="0" applyFont="1" applyFill="1"/>
    <xf numFmtId="1" fontId="4" fillId="0" borderId="0" xfId="0" applyNumberFormat="1" applyFont="1"/>
    <xf numFmtId="2" fontId="4" fillId="0" borderId="0" xfId="0" applyNumberFormat="1" applyFont="1"/>
    <xf numFmtId="166" fontId="4" fillId="0" borderId="0" xfId="0" applyNumberFormat="1" applyFont="1"/>
    <xf numFmtId="1" fontId="4" fillId="2" borderId="0" xfId="0" applyNumberFormat="1" applyFont="1" applyFill="1"/>
    <xf numFmtId="1" fontId="4" fillId="3" borderId="0" xfId="0" applyNumberFormat="1" applyFont="1" applyFill="1"/>
    <xf numFmtId="166" fontId="4" fillId="3" borderId="0" xfId="0" applyNumberFormat="1" applyFont="1" applyFill="1"/>
    <xf numFmtId="1" fontId="4" fillId="0" borderId="0" xfId="3" applyNumberFormat="1" applyFont="1"/>
    <xf numFmtId="2" fontId="4" fillId="0" borderId="0" xfId="3" applyNumberFormat="1" applyFont="1"/>
    <xf numFmtId="166" fontId="4" fillId="0" borderId="0" xfId="3" applyNumberFormat="1" applyFont="1"/>
    <xf numFmtId="1" fontId="4" fillId="2" borderId="0" xfId="3" applyNumberFormat="1" applyFont="1" applyFill="1"/>
    <xf numFmtId="2" fontId="5" fillId="2" borderId="0" xfId="0" applyNumberFormat="1" applyFont="1" applyFill="1" applyBorder="1" applyAlignment="1"/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1" fontId="5" fillId="2" borderId="0" xfId="0" applyNumberFormat="1" applyFont="1" applyFill="1" applyBorder="1" applyAlignment="1"/>
    <xf numFmtId="2" fontId="6" fillId="2" borderId="0" xfId="0" applyNumberFormat="1" applyFont="1" applyFill="1"/>
    <xf numFmtId="0" fontId="4" fillId="0" borderId="0" xfId="0" applyNumberFormat="1" applyFont="1" applyBorder="1" applyAlignment="1"/>
    <xf numFmtId="1" fontId="0" fillId="5" borderId="0" xfId="0" applyNumberFormat="1" applyFont="1" applyFill="1"/>
    <xf numFmtId="1" fontId="4" fillId="4" borderId="0" xfId="3" applyNumberFormat="1" applyFont="1" applyFill="1"/>
    <xf numFmtId="2" fontId="4" fillId="6" borderId="0" xfId="0" applyNumberFormat="1" applyFont="1" applyFill="1" applyBorder="1" applyAlignment="1"/>
    <xf numFmtId="2" fontId="4" fillId="4" borderId="0" xfId="3" applyNumberFormat="1" applyFont="1" applyFill="1"/>
    <xf numFmtId="0" fontId="4" fillId="4" borderId="0" xfId="0" applyFont="1" applyFill="1"/>
    <xf numFmtId="166" fontId="4" fillId="4" borderId="0" xfId="3" applyNumberFormat="1" applyFont="1" applyFill="1"/>
    <xf numFmtId="1" fontId="4" fillId="6" borderId="0" xfId="0" applyNumberFormat="1" applyFont="1" applyFill="1" applyBorder="1" applyAlignment="1"/>
    <xf numFmtId="2" fontId="4" fillId="6" borderId="0" xfId="0" applyNumberFormat="1" applyFont="1" applyFill="1"/>
    <xf numFmtId="1" fontId="4" fillId="6" borderId="0" xfId="3" applyNumberFormat="1" applyFont="1" applyFill="1"/>
    <xf numFmtId="1" fontId="4" fillId="6" borderId="0" xfId="0" applyNumberFormat="1" applyFont="1" applyFill="1"/>
  </cellXfs>
  <cellStyles count="5">
    <cellStyle name="Euro" xfId="1"/>
    <cellStyle name="Обычный" xfId="0" builtinId="0"/>
    <cellStyle name="Обычный 2" xfId="2"/>
    <cellStyle name="Обычный 3" xfId="3"/>
    <cellStyle name="Финансовый 2" xfId="4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38"/>
  <sheetViews>
    <sheetView tabSelected="1" zoomScaleNormal="100" workbookViewId="0">
      <pane ySplit="1" topLeftCell="A491" activePane="bottomLeft" state="frozen"/>
      <selection pane="bottomLeft" activeCell="Y1" sqref="Y1"/>
    </sheetView>
  </sheetViews>
  <sheetFormatPr defaultColWidth="8.5703125" defaultRowHeight="15" x14ac:dyDescent="0.25"/>
  <cols>
    <col min="1" max="3" width="9.5703125" style="2" customWidth="1"/>
    <col min="4" max="4" width="11.140625" style="4" customWidth="1"/>
    <col min="5" max="5" width="11.140625" style="2" customWidth="1"/>
    <col min="6" max="6" width="9.85546875" style="2" customWidth="1"/>
    <col min="7" max="7" width="9.5703125" style="4" customWidth="1"/>
    <col min="8" max="8" width="9.5703125" style="2" customWidth="1"/>
    <col min="9" max="9" width="8.5703125" style="3"/>
    <col min="10" max="10" width="9.42578125" style="2" customWidth="1"/>
    <col min="11" max="11" width="10" style="4" customWidth="1"/>
    <col min="12" max="12" width="9.42578125" style="2" customWidth="1"/>
    <col min="13" max="13" width="11.42578125" style="2" customWidth="1"/>
    <col min="14" max="14" width="12.28515625" style="5" customWidth="1"/>
    <col min="15" max="15" width="13.28515625" style="3" customWidth="1"/>
    <col min="16" max="16" width="12.5703125" style="3" customWidth="1"/>
    <col min="17" max="17" width="9.5703125" style="6" customWidth="1"/>
    <col min="18" max="18" width="9.5703125" style="3" customWidth="1"/>
    <col min="19" max="19" width="12.28515625" style="6" customWidth="1"/>
    <col min="20" max="20" width="11.85546875" style="6" customWidth="1"/>
    <col min="21" max="21" width="11.7109375" style="6" customWidth="1"/>
    <col min="22" max="22" width="12.5703125" style="6" customWidth="1"/>
    <col min="23" max="24" width="11.28515625" style="6" customWidth="1"/>
    <col min="25" max="25" width="22.7109375" customWidth="1"/>
  </cols>
  <sheetData>
    <row r="1" spans="1:25" s="11" customFormat="1" ht="22.5" customHeight="1" x14ac:dyDescent="0.2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9" t="s">
        <v>8</v>
      </c>
      <c r="J1" s="8" t="s">
        <v>9</v>
      </c>
      <c r="K1" s="9" t="s">
        <v>10</v>
      </c>
      <c r="L1" s="8" t="s">
        <v>11</v>
      </c>
      <c r="M1" s="8" t="s">
        <v>12</v>
      </c>
      <c r="N1" s="10" t="s">
        <v>13</v>
      </c>
      <c r="O1" s="9" t="s">
        <v>14</v>
      </c>
      <c r="P1" s="9" t="s">
        <v>15</v>
      </c>
      <c r="Q1" s="8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7" t="s">
        <v>24</v>
      </c>
    </row>
    <row r="2" spans="1:25" s="19" customFormat="1" ht="14.25" customHeight="1" x14ac:dyDescent="0.2">
      <c r="A2" s="13"/>
      <c r="B2" s="13"/>
      <c r="C2" s="13"/>
      <c r="D2" s="15">
        <v>1</v>
      </c>
      <c r="E2" s="13"/>
      <c r="F2" s="13"/>
      <c r="G2" s="15"/>
      <c r="H2" s="13"/>
      <c r="I2" s="14"/>
      <c r="J2" s="13"/>
      <c r="K2" s="15">
        <v>1</v>
      </c>
      <c r="L2" s="13"/>
      <c r="M2" s="13"/>
      <c r="N2" s="16"/>
      <c r="O2" s="14"/>
      <c r="P2" s="14"/>
      <c r="Q2" s="17"/>
      <c r="R2" s="18">
        <f>K2-D2</f>
        <v>0</v>
      </c>
      <c r="S2" s="17">
        <f>IF(R2&gt;0.09,1,0)</f>
        <v>0</v>
      </c>
      <c r="T2" s="17"/>
      <c r="U2" s="17"/>
      <c r="V2" s="17">
        <f>SUM(J2,Q2,S2,T2,U2)</f>
        <v>0</v>
      </c>
      <c r="W2" s="17">
        <v>0</v>
      </c>
      <c r="X2" s="17">
        <v>0</v>
      </c>
      <c r="Y2" s="12">
        <v>1</v>
      </c>
    </row>
    <row r="3" spans="1:25" s="19" customFormat="1" ht="14.25" customHeight="1" x14ac:dyDescent="0.2">
      <c r="A3" s="13">
        <v>81</v>
      </c>
      <c r="B3" s="13">
        <v>106</v>
      </c>
      <c r="C3" s="13">
        <v>68</v>
      </c>
      <c r="D3" s="15">
        <v>1.125</v>
      </c>
      <c r="E3" s="13">
        <v>19</v>
      </c>
      <c r="F3" s="13"/>
      <c r="G3" s="15"/>
      <c r="H3" s="13">
        <v>98</v>
      </c>
      <c r="I3" s="14">
        <f>H3/A3</f>
        <v>1.2098765432098766</v>
      </c>
      <c r="J3" s="13">
        <v>1</v>
      </c>
      <c r="K3" s="15">
        <v>1.125</v>
      </c>
      <c r="L3" s="13">
        <v>51</v>
      </c>
      <c r="M3" s="13"/>
      <c r="N3" s="16"/>
      <c r="O3" s="14"/>
      <c r="P3" s="14"/>
      <c r="Q3" s="17"/>
      <c r="R3" s="18">
        <f>K3-D3</f>
        <v>0</v>
      </c>
      <c r="S3" s="17">
        <f>IF(R3&gt;0.09,1,0)</f>
        <v>0</v>
      </c>
      <c r="T3" s="17"/>
      <c r="U3" s="17">
        <v>0</v>
      </c>
      <c r="V3" s="17">
        <f>SUM(J3,Q3,S3,T3,U3)</f>
        <v>1</v>
      </c>
      <c r="W3" s="17">
        <v>1</v>
      </c>
      <c r="X3" s="17">
        <v>1</v>
      </c>
      <c r="Y3" s="12">
        <v>1</v>
      </c>
    </row>
    <row r="4" spans="1:25" s="19" customFormat="1" ht="14.25" customHeight="1" x14ac:dyDescent="0.2">
      <c r="A4" s="13">
        <v>62</v>
      </c>
      <c r="B4" s="13">
        <v>131</v>
      </c>
      <c r="C4" s="13">
        <v>66</v>
      </c>
      <c r="D4" s="15">
        <v>1</v>
      </c>
      <c r="E4" s="13">
        <v>22</v>
      </c>
      <c r="F4" s="13"/>
      <c r="G4" s="15"/>
      <c r="H4" s="13">
        <v>90</v>
      </c>
      <c r="I4" s="14">
        <f>H4/A4</f>
        <v>1.4516129032258065</v>
      </c>
      <c r="J4" s="13">
        <v>0</v>
      </c>
      <c r="K4" s="15">
        <v>1.125</v>
      </c>
      <c r="L4" s="13">
        <v>45</v>
      </c>
      <c r="M4" s="13"/>
      <c r="N4" s="16"/>
      <c r="O4" s="14"/>
      <c r="P4" s="14"/>
      <c r="Q4" s="17"/>
      <c r="R4" s="18">
        <f>K4-D4</f>
        <v>0.125</v>
      </c>
      <c r="S4" s="17">
        <f>IF(R4&gt;0.09,1,0)</f>
        <v>1</v>
      </c>
      <c r="T4" s="17"/>
      <c r="U4" s="17">
        <v>0</v>
      </c>
      <c r="V4" s="17">
        <f>SUM(J4,Q4,S4,T4,U4)</f>
        <v>1</v>
      </c>
      <c r="W4" s="17">
        <v>1</v>
      </c>
      <c r="X4" s="17">
        <v>1</v>
      </c>
      <c r="Y4" s="12">
        <v>0</v>
      </c>
    </row>
    <row r="5" spans="1:25" s="19" customFormat="1" ht="14.25" customHeight="1" x14ac:dyDescent="0.2">
      <c r="A5" s="13">
        <v>70</v>
      </c>
      <c r="B5" s="13">
        <v>173</v>
      </c>
      <c r="C5" s="13">
        <v>94</v>
      </c>
      <c r="D5" s="15">
        <v>1.19</v>
      </c>
      <c r="E5" s="13">
        <v>37</v>
      </c>
      <c r="F5" s="13"/>
      <c r="G5" s="15"/>
      <c r="H5" s="13">
        <v>90</v>
      </c>
      <c r="I5" s="14">
        <f>H5/A5</f>
        <v>1.2857142857142858</v>
      </c>
      <c r="J5" s="13">
        <v>0</v>
      </c>
      <c r="K5" s="15">
        <v>1</v>
      </c>
      <c r="L5" s="13">
        <v>59</v>
      </c>
      <c r="M5" s="13"/>
      <c r="N5" s="16"/>
      <c r="O5" s="14"/>
      <c r="P5" s="14"/>
      <c r="Q5" s="17"/>
      <c r="R5" s="18">
        <f>K5-D5</f>
        <v>-0.18999999999999995</v>
      </c>
      <c r="S5" s="17">
        <v>1</v>
      </c>
      <c r="T5" s="17">
        <v>1</v>
      </c>
      <c r="U5" s="17">
        <v>1</v>
      </c>
      <c r="V5" s="17">
        <f>SUM(J5,Q5,S5,T5,U5)</f>
        <v>3</v>
      </c>
      <c r="W5" s="17">
        <v>4</v>
      </c>
      <c r="X5" s="17">
        <v>4</v>
      </c>
      <c r="Y5" s="12">
        <v>1</v>
      </c>
    </row>
    <row r="6" spans="1:25" s="19" customFormat="1" ht="14.25" customHeight="1" x14ac:dyDescent="0.2">
      <c r="A6" s="13">
        <v>52</v>
      </c>
      <c r="B6" s="13">
        <v>98</v>
      </c>
      <c r="C6" s="13">
        <v>80</v>
      </c>
      <c r="D6" s="15">
        <v>1</v>
      </c>
      <c r="E6" s="13">
        <v>24</v>
      </c>
      <c r="F6" s="13">
        <v>0</v>
      </c>
      <c r="G6" s="15">
        <v>18.3</v>
      </c>
      <c r="H6" s="13">
        <v>77</v>
      </c>
      <c r="I6" s="14">
        <f>H6/A6</f>
        <v>1.4807692307692308</v>
      </c>
      <c r="J6" s="13">
        <v>0</v>
      </c>
      <c r="K6" s="15">
        <v>1.1200000000000001</v>
      </c>
      <c r="L6" s="13">
        <v>81</v>
      </c>
      <c r="M6" s="13">
        <v>0</v>
      </c>
      <c r="N6" s="16">
        <v>21.7</v>
      </c>
      <c r="O6" s="14">
        <f>N6/G6</f>
        <v>1.1857923497267759</v>
      </c>
      <c r="P6" s="14">
        <f>N6-G6</f>
        <v>3.3999999999999986</v>
      </c>
      <c r="Q6" s="17">
        <f>IF(F6&lt;2,IF(M6&lt;2,0,1),1)</f>
        <v>0</v>
      </c>
      <c r="R6" s="18">
        <f>K6-D6</f>
        <v>0.12000000000000011</v>
      </c>
      <c r="S6" s="17">
        <f>IF(R6&gt;0.09,1,0)</f>
        <v>1</v>
      </c>
      <c r="T6" s="17">
        <v>0</v>
      </c>
      <c r="U6" s="17">
        <v>0</v>
      </c>
      <c r="V6" s="17">
        <f>SUM(J6,Q6,S6,T6,U6)</f>
        <v>1</v>
      </c>
      <c r="W6" s="17">
        <v>1</v>
      </c>
      <c r="X6" s="17">
        <v>1</v>
      </c>
      <c r="Y6" s="12">
        <v>0</v>
      </c>
    </row>
    <row r="7" spans="1:25" s="19" customFormat="1" ht="14.25" customHeight="1" x14ac:dyDescent="0.2">
      <c r="A7" s="13">
        <v>76</v>
      </c>
      <c r="B7" s="13">
        <v>154</v>
      </c>
      <c r="C7" s="13">
        <v>80</v>
      </c>
      <c r="D7" s="15">
        <v>1</v>
      </c>
      <c r="E7" s="13">
        <v>36</v>
      </c>
      <c r="F7" s="13">
        <v>0</v>
      </c>
      <c r="G7" s="15">
        <v>17.5</v>
      </c>
      <c r="H7" s="13">
        <v>106</v>
      </c>
      <c r="I7" s="14">
        <f>H7/A7</f>
        <v>1.3947368421052631</v>
      </c>
      <c r="J7" s="13">
        <v>0</v>
      </c>
      <c r="K7" s="15">
        <v>1.23</v>
      </c>
      <c r="L7" s="13">
        <v>37</v>
      </c>
      <c r="M7" s="13">
        <v>0</v>
      </c>
      <c r="N7" s="16">
        <v>22.4</v>
      </c>
      <c r="O7" s="14">
        <f>N7/G7</f>
        <v>1.28</v>
      </c>
      <c r="P7" s="14">
        <f>N7-G7</f>
        <v>4.8999999999999986</v>
      </c>
      <c r="Q7" s="17">
        <f>IF(F7&lt;2,IF(M7&lt;2,0,1),1)</f>
        <v>0</v>
      </c>
      <c r="R7" s="18">
        <f>K7-D7</f>
        <v>0.22999999999999998</v>
      </c>
      <c r="S7" s="17">
        <f>IF(R7&gt;0.09,1,0)</f>
        <v>1</v>
      </c>
      <c r="T7" s="17">
        <v>1</v>
      </c>
      <c r="U7" s="17">
        <v>1</v>
      </c>
      <c r="V7" s="17">
        <f>SUM(J7,Q7,S7,T7,U7)</f>
        <v>3</v>
      </c>
      <c r="W7" s="17">
        <v>3</v>
      </c>
      <c r="X7" s="17">
        <v>3</v>
      </c>
      <c r="Y7" s="12">
        <v>1</v>
      </c>
    </row>
    <row r="8" spans="1:25" s="19" customFormat="1" ht="14.25" customHeight="1" x14ac:dyDescent="0.2">
      <c r="A8" s="13">
        <v>79</v>
      </c>
      <c r="B8" s="13">
        <v>159</v>
      </c>
      <c r="C8" s="13">
        <v>91</v>
      </c>
      <c r="D8" s="15">
        <v>1</v>
      </c>
      <c r="E8" s="13">
        <v>46</v>
      </c>
      <c r="F8" s="13">
        <v>0</v>
      </c>
      <c r="G8" s="15"/>
      <c r="H8" s="13">
        <v>111</v>
      </c>
      <c r="I8" s="14">
        <f>H8/A8</f>
        <v>1.4050632911392404</v>
      </c>
      <c r="J8" s="13">
        <v>0</v>
      </c>
      <c r="K8" s="15">
        <v>1</v>
      </c>
      <c r="L8" s="13">
        <v>82</v>
      </c>
      <c r="M8" s="13">
        <v>0</v>
      </c>
      <c r="N8" s="16"/>
      <c r="O8" s="14"/>
      <c r="P8" s="14"/>
      <c r="Q8" s="17">
        <f>IF(F8&lt;2,IF(M8&lt;2,0,1),1)</f>
        <v>0</v>
      </c>
      <c r="R8" s="18">
        <f>K8-D8</f>
        <v>0</v>
      </c>
      <c r="S8" s="17">
        <f>IF(R8&gt;0.09,1,0)</f>
        <v>0</v>
      </c>
      <c r="T8" s="17">
        <v>0</v>
      </c>
      <c r="U8" s="17">
        <v>1</v>
      </c>
      <c r="V8" s="17">
        <f>SUM(J8,Q8,S8,T8,U8)</f>
        <v>1</v>
      </c>
      <c r="W8" s="17">
        <v>1</v>
      </c>
      <c r="X8" s="17">
        <v>1</v>
      </c>
      <c r="Y8" s="12">
        <v>1</v>
      </c>
    </row>
    <row r="9" spans="1:25" s="19" customFormat="1" ht="14.25" customHeight="1" x14ac:dyDescent="0.2">
      <c r="A9" s="13">
        <v>64</v>
      </c>
      <c r="B9" s="13">
        <v>100</v>
      </c>
      <c r="C9" s="13">
        <v>69</v>
      </c>
      <c r="D9" s="15">
        <v>1</v>
      </c>
      <c r="E9" s="13">
        <v>16</v>
      </c>
      <c r="F9" s="13">
        <v>0</v>
      </c>
      <c r="G9" s="15"/>
      <c r="H9" s="13">
        <v>87</v>
      </c>
      <c r="I9" s="14">
        <f>H9/A9</f>
        <v>1.359375</v>
      </c>
      <c r="J9" s="13">
        <v>0</v>
      </c>
      <c r="K9" s="15">
        <v>1</v>
      </c>
      <c r="L9" s="13">
        <v>44</v>
      </c>
      <c r="M9" s="13">
        <v>0</v>
      </c>
      <c r="N9" s="16"/>
      <c r="O9" s="14"/>
      <c r="P9" s="14"/>
      <c r="Q9" s="17">
        <f>IF(F9&lt;2,IF(M9&lt;2,0,1),1)</f>
        <v>0</v>
      </c>
      <c r="R9" s="18">
        <f>K9-D9</f>
        <v>0</v>
      </c>
      <c r="S9" s="17">
        <f>IF(R9&gt;0.09,1,0)</f>
        <v>0</v>
      </c>
      <c r="T9" s="17">
        <v>1</v>
      </c>
      <c r="U9" s="17">
        <v>0</v>
      </c>
      <c r="V9" s="17">
        <f>SUM(J9,Q9,S9,T9,U9)</f>
        <v>1</v>
      </c>
      <c r="W9" s="17">
        <v>1</v>
      </c>
      <c r="X9" s="17">
        <v>1</v>
      </c>
      <c r="Y9" s="12">
        <v>0</v>
      </c>
    </row>
    <row r="10" spans="1:25" s="19" customFormat="1" ht="14.25" customHeight="1" x14ac:dyDescent="0.2">
      <c r="A10" s="13">
        <v>59</v>
      </c>
      <c r="B10" s="13">
        <v>111</v>
      </c>
      <c r="C10" s="13">
        <v>91</v>
      </c>
      <c r="D10" s="15">
        <v>1</v>
      </c>
      <c r="E10" s="13">
        <v>29</v>
      </c>
      <c r="F10" s="13">
        <v>0</v>
      </c>
      <c r="G10" s="15"/>
      <c r="H10" s="13">
        <v>97</v>
      </c>
      <c r="I10" s="14">
        <f>H10/A10</f>
        <v>1.6440677966101696</v>
      </c>
      <c r="J10" s="13">
        <v>0</v>
      </c>
      <c r="K10" s="15">
        <v>1.1200000000000001</v>
      </c>
      <c r="L10" s="13">
        <v>56</v>
      </c>
      <c r="M10" s="13">
        <v>0</v>
      </c>
      <c r="N10" s="16"/>
      <c r="O10" s="14"/>
      <c r="P10" s="14"/>
      <c r="Q10" s="17">
        <f>IF(F10&lt;2,IF(M10&lt;2,0,1),1)</f>
        <v>0</v>
      </c>
      <c r="R10" s="18">
        <f>K10-D10</f>
        <v>0.12000000000000011</v>
      </c>
      <c r="S10" s="17">
        <f>IF(R10&gt;0.09,1,0)</f>
        <v>1</v>
      </c>
      <c r="T10" s="17">
        <v>1</v>
      </c>
      <c r="U10" s="17">
        <v>1</v>
      </c>
      <c r="V10" s="17">
        <f>SUM(J10,Q10,S10,T10,U10)</f>
        <v>3</v>
      </c>
      <c r="W10" s="17">
        <v>3</v>
      </c>
      <c r="X10" s="17">
        <v>3</v>
      </c>
      <c r="Y10" s="12">
        <v>1</v>
      </c>
    </row>
    <row r="11" spans="1:25" s="19" customFormat="1" ht="14.25" customHeight="1" x14ac:dyDescent="0.2">
      <c r="A11" s="13">
        <v>60</v>
      </c>
      <c r="B11" s="13">
        <v>117</v>
      </c>
      <c r="C11" s="13">
        <v>84</v>
      </c>
      <c r="D11" s="15">
        <v>1</v>
      </c>
      <c r="E11" s="13">
        <v>33</v>
      </c>
      <c r="F11" s="13">
        <v>0</v>
      </c>
      <c r="G11" s="15">
        <v>18.5</v>
      </c>
      <c r="H11" s="13">
        <v>80</v>
      </c>
      <c r="I11" s="14">
        <f>H11/A11</f>
        <v>1.3333333333333333</v>
      </c>
      <c r="J11" s="13">
        <v>0</v>
      </c>
      <c r="K11" s="15">
        <v>1</v>
      </c>
      <c r="L11" s="13">
        <v>66</v>
      </c>
      <c r="M11" s="13">
        <v>0</v>
      </c>
      <c r="N11" s="16">
        <v>17.3</v>
      </c>
      <c r="O11" s="14">
        <f>N11/G11</f>
        <v>0.93513513513513513</v>
      </c>
      <c r="P11" s="14">
        <f>N11-G11</f>
        <v>-1.1999999999999993</v>
      </c>
      <c r="Q11" s="17">
        <f>IF(F11&lt;2,IF(M11&lt;2,0,1),1)</f>
        <v>0</v>
      </c>
      <c r="R11" s="18">
        <f>K11-D11</f>
        <v>0</v>
      </c>
      <c r="S11" s="17">
        <f>IF(R11&gt;0.09,1,0)</f>
        <v>0</v>
      </c>
      <c r="T11" s="17">
        <v>0</v>
      </c>
      <c r="U11" s="17">
        <v>1</v>
      </c>
      <c r="V11" s="17">
        <f>SUM(J11,Q11,S11,T11,U11)</f>
        <v>1</v>
      </c>
      <c r="W11" s="17">
        <v>1</v>
      </c>
      <c r="X11" s="17">
        <v>1</v>
      </c>
      <c r="Y11" s="12">
        <v>1</v>
      </c>
    </row>
    <row r="12" spans="1:25" s="19" customFormat="1" ht="14.25" customHeight="1" x14ac:dyDescent="0.2">
      <c r="A12" s="13">
        <v>68</v>
      </c>
      <c r="B12" s="13">
        <v>121</v>
      </c>
      <c r="C12" s="13">
        <v>83</v>
      </c>
      <c r="D12" s="15">
        <v>1.29</v>
      </c>
      <c r="E12" s="13">
        <v>32</v>
      </c>
      <c r="F12" s="13">
        <v>0</v>
      </c>
      <c r="G12" s="15"/>
      <c r="H12" s="13">
        <v>88</v>
      </c>
      <c r="I12" s="14">
        <f>H12/A12</f>
        <v>1.2941176470588236</v>
      </c>
      <c r="J12" s="13">
        <v>0</v>
      </c>
      <c r="K12" s="15">
        <v>1.41</v>
      </c>
      <c r="L12" s="13">
        <v>45</v>
      </c>
      <c r="M12" s="13">
        <v>0</v>
      </c>
      <c r="N12" s="16"/>
      <c r="O12" s="14"/>
      <c r="P12" s="14"/>
      <c r="Q12" s="17">
        <f>IF(F12&lt;2,IF(M12&lt;2,0,1),1)</f>
        <v>0</v>
      </c>
      <c r="R12" s="18">
        <f>K12-D12</f>
        <v>0.11999999999999988</v>
      </c>
      <c r="S12" s="17">
        <f>IF(R12&gt;0.09,1,0)</f>
        <v>1</v>
      </c>
      <c r="T12" s="17">
        <v>1</v>
      </c>
      <c r="U12" s="17">
        <v>1</v>
      </c>
      <c r="V12" s="17">
        <f>SUM(J12,Q12,S12,T12,U12)</f>
        <v>3</v>
      </c>
      <c r="W12" s="17">
        <v>3</v>
      </c>
      <c r="X12" s="17">
        <v>3</v>
      </c>
      <c r="Y12" s="12">
        <v>1</v>
      </c>
    </row>
    <row r="13" spans="1:25" s="19" customFormat="1" ht="14.25" customHeight="1" x14ac:dyDescent="0.2">
      <c r="A13" s="13">
        <v>60</v>
      </c>
      <c r="B13" s="13">
        <v>138</v>
      </c>
      <c r="C13" s="13">
        <v>89</v>
      </c>
      <c r="D13" s="15">
        <v>1.17</v>
      </c>
      <c r="E13" s="13">
        <v>31</v>
      </c>
      <c r="F13" s="13">
        <v>2</v>
      </c>
      <c r="G13" s="15"/>
      <c r="H13" s="13">
        <v>93</v>
      </c>
      <c r="I13" s="14">
        <f>H13/A13</f>
        <v>1.55</v>
      </c>
      <c r="J13" s="13">
        <v>0</v>
      </c>
      <c r="K13" s="15">
        <v>1.47</v>
      </c>
      <c r="L13" s="13">
        <v>101</v>
      </c>
      <c r="M13" s="13">
        <v>2</v>
      </c>
      <c r="N13" s="16"/>
      <c r="O13" s="14"/>
      <c r="P13" s="14"/>
      <c r="Q13" s="17">
        <f>IF(F13&lt;2,IF(M13&lt;2,0,1),1)</f>
        <v>1</v>
      </c>
      <c r="R13" s="18">
        <f>K13-D13</f>
        <v>0.30000000000000004</v>
      </c>
      <c r="S13" s="17">
        <f>IF(R13&gt;0.09,1,0)</f>
        <v>1</v>
      </c>
      <c r="T13" s="17">
        <v>1</v>
      </c>
      <c r="U13" s="17">
        <v>0</v>
      </c>
      <c r="V13" s="17">
        <f>SUM(J13,Q13,S13,T13,U13)</f>
        <v>3</v>
      </c>
      <c r="W13" s="17">
        <v>4</v>
      </c>
      <c r="X13" s="17">
        <v>5</v>
      </c>
      <c r="Y13" s="12">
        <v>1</v>
      </c>
    </row>
    <row r="14" spans="1:25" s="19" customFormat="1" ht="14.25" customHeight="1" x14ac:dyDescent="0.2">
      <c r="A14" s="13">
        <v>57</v>
      </c>
      <c r="B14" s="13">
        <v>130</v>
      </c>
      <c r="C14" s="13">
        <v>68</v>
      </c>
      <c r="D14" s="15">
        <v>1</v>
      </c>
      <c r="E14" s="13">
        <v>23</v>
      </c>
      <c r="F14" s="13">
        <v>1</v>
      </c>
      <c r="G14" s="15"/>
      <c r="H14" s="13">
        <v>74</v>
      </c>
      <c r="I14" s="14">
        <f>H14/A14</f>
        <v>1.2982456140350878</v>
      </c>
      <c r="J14" s="13">
        <v>0</v>
      </c>
      <c r="K14" s="15">
        <v>1.1100000000000001</v>
      </c>
      <c r="L14" s="13">
        <v>54</v>
      </c>
      <c r="M14" s="13">
        <v>2</v>
      </c>
      <c r="N14" s="16"/>
      <c r="O14" s="14"/>
      <c r="P14" s="14"/>
      <c r="Q14" s="17">
        <f>IF(F14&lt;2,IF(M14&lt;2,0,1),1)</f>
        <v>1</v>
      </c>
      <c r="R14" s="18">
        <f>K14-D14</f>
        <v>0.1100000000000001</v>
      </c>
      <c r="S14" s="17">
        <f>IF(R14&gt;0.09,1,0)</f>
        <v>1</v>
      </c>
      <c r="T14" s="17">
        <v>1</v>
      </c>
      <c r="U14" s="17">
        <v>0</v>
      </c>
      <c r="V14" s="17">
        <f>SUM(J14,Q14,S14,T14,U14)</f>
        <v>3</v>
      </c>
      <c r="W14" s="17">
        <v>3</v>
      </c>
      <c r="X14" s="17">
        <v>3</v>
      </c>
      <c r="Y14" s="12">
        <v>1</v>
      </c>
    </row>
    <row r="15" spans="1:25" s="19" customFormat="1" ht="14.25" customHeight="1" x14ac:dyDescent="0.2">
      <c r="A15" s="13">
        <v>62</v>
      </c>
      <c r="B15" s="13">
        <v>111</v>
      </c>
      <c r="C15" s="13">
        <v>86</v>
      </c>
      <c r="D15" s="15">
        <v>1</v>
      </c>
      <c r="E15" s="13">
        <v>30</v>
      </c>
      <c r="F15" s="13">
        <v>0</v>
      </c>
      <c r="G15" s="15"/>
      <c r="H15" s="13">
        <v>82</v>
      </c>
      <c r="I15" s="14">
        <f>H15/A15</f>
        <v>1.3225806451612903</v>
      </c>
      <c r="J15" s="13">
        <v>0</v>
      </c>
      <c r="K15" s="15">
        <v>1</v>
      </c>
      <c r="L15" s="13">
        <v>92</v>
      </c>
      <c r="M15" s="13">
        <v>0</v>
      </c>
      <c r="N15" s="16"/>
      <c r="O15" s="14"/>
      <c r="P15" s="14"/>
      <c r="Q15" s="17">
        <f>IF(F15&lt;2,IF(M15&lt;2,0,1),1)</f>
        <v>0</v>
      </c>
      <c r="R15" s="18">
        <f>K15-D15</f>
        <v>0</v>
      </c>
      <c r="S15" s="17">
        <f>IF(R15&gt;0.09,1,0)</f>
        <v>0</v>
      </c>
      <c r="T15" s="17">
        <v>1</v>
      </c>
      <c r="U15" s="17">
        <v>0</v>
      </c>
      <c r="V15" s="17">
        <f>SUM(J15,Q15,S15,T15,U15)</f>
        <v>1</v>
      </c>
      <c r="W15" s="17">
        <v>1</v>
      </c>
      <c r="X15" s="17">
        <v>1</v>
      </c>
      <c r="Y15" s="12">
        <v>1</v>
      </c>
    </row>
    <row r="16" spans="1:25" s="19" customFormat="1" ht="14.25" customHeight="1" x14ac:dyDescent="0.2">
      <c r="A16" s="13">
        <v>58</v>
      </c>
      <c r="B16" s="13">
        <v>113</v>
      </c>
      <c r="C16" s="13">
        <v>73</v>
      </c>
      <c r="D16" s="15">
        <v>1</v>
      </c>
      <c r="E16" s="13">
        <v>19</v>
      </c>
      <c r="F16" s="13">
        <v>0</v>
      </c>
      <c r="G16" s="15">
        <v>21.4</v>
      </c>
      <c r="H16" s="13">
        <v>98</v>
      </c>
      <c r="I16" s="14">
        <f>H16/A16</f>
        <v>1.6896551724137931</v>
      </c>
      <c r="J16" s="13">
        <v>0</v>
      </c>
      <c r="K16" s="15">
        <v>1</v>
      </c>
      <c r="L16" s="13">
        <v>49</v>
      </c>
      <c r="M16" s="13">
        <v>0</v>
      </c>
      <c r="N16" s="16">
        <v>19.5</v>
      </c>
      <c r="O16" s="14">
        <f>N16/G16</f>
        <v>0.91121495327102808</v>
      </c>
      <c r="P16" s="14">
        <f>N16-G16</f>
        <v>-1.8999999999999986</v>
      </c>
      <c r="Q16" s="17">
        <f>IF(F16&lt;2,IF(M16&lt;2,0,1),1)</f>
        <v>0</v>
      </c>
      <c r="R16" s="18">
        <f>K16-D16</f>
        <v>0</v>
      </c>
      <c r="S16" s="17">
        <f>IF(R16&gt;0.09,1,0)</f>
        <v>0</v>
      </c>
      <c r="T16" s="17">
        <v>1</v>
      </c>
      <c r="U16" s="17">
        <v>0</v>
      </c>
      <c r="V16" s="17">
        <f>SUM(J16,Q16,S16,T16,U16)</f>
        <v>1</v>
      </c>
      <c r="W16" s="17">
        <v>1</v>
      </c>
      <c r="X16" s="17">
        <v>1</v>
      </c>
      <c r="Y16" s="12">
        <v>0</v>
      </c>
    </row>
    <row r="17" spans="1:25" s="19" customFormat="1" ht="14.25" customHeight="1" x14ac:dyDescent="0.2">
      <c r="A17" s="13">
        <v>50</v>
      </c>
      <c r="B17" s="13">
        <v>116</v>
      </c>
      <c r="C17" s="13">
        <v>83</v>
      </c>
      <c r="D17" s="15">
        <v>1</v>
      </c>
      <c r="E17" s="13">
        <v>24</v>
      </c>
      <c r="F17" s="13">
        <v>1</v>
      </c>
      <c r="G17" s="15">
        <v>18</v>
      </c>
      <c r="H17" s="13">
        <v>80</v>
      </c>
      <c r="I17" s="14">
        <f>H17/A17</f>
        <v>1.6</v>
      </c>
      <c r="J17" s="13">
        <v>0</v>
      </c>
      <c r="K17" s="15">
        <v>1.1100000000000001</v>
      </c>
      <c r="L17" s="13">
        <v>70</v>
      </c>
      <c r="M17" s="13">
        <v>1</v>
      </c>
      <c r="N17" s="16">
        <v>20.399999999999999</v>
      </c>
      <c r="O17" s="14">
        <f>N17/G17</f>
        <v>1.1333333333333333</v>
      </c>
      <c r="P17" s="14">
        <f>N17-G17</f>
        <v>2.3999999999999986</v>
      </c>
      <c r="Q17" s="17">
        <f>IF(F17&lt;2,IF(M17&lt;2,0,1),1)</f>
        <v>0</v>
      </c>
      <c r="R17" s="18">
        <f>K17-D17</f>
        <v>0.1100000000000001</v>
      </c>
      <c r="S17" s="17">
        <f>IF(R17&gt;0.09,1,0)</f>
        <v>1</v>
      </c>
      <c r="T17" s="17">
        <v>0</v>
      </c>
      <c r="U17" s="17">
        <v>0</v>
      </c>
      <c r="V17" s="17">
        <f>SUM(J17,Q17,S17,T17,U17)</f>
        <v>1</v>
      </c>
      <c r="W17" s="17">
        <v>1</v>
      </c>
      <c r="X17" s="17">
        <v>1</v>
      </c>
      <c r="Y17" s="12">
        <v>0</v>
      </c>
    </row>
    <row r="18" spans="1:25" s="19" customFormat="1" ht="14.25" customHeight="1" x14ac:dyDescent="0.2">
      <c r="A18" s="13">
        <v>68</v>
      </c>
      <c r="B18" s="13">
        <v>145</v>
      </c>
      <c r="C18" s="13">
        <v>90</v>
      </c>
      <c r="D18" s="15">
        <v>1</v>
      </c>
      <c r="E18" s="13">
        <v>22</v>
      </c>
      <c r="F18" s="13">
        <v>0</v>
      </c>
      <c r="G18" s="15"/>
      <c r="H18" s="13">
        <v>160</v>
      </c>
      <c r="I18" s="14">
        <f>H18/A18</f>
        <v>2.3529411764705883</v>
      </c>
      <c r="J18" s="13">
        <v>0</v>
      </c>
      <c r="K18" s="15">
        <v>1</v>
      </c>
      <c r="L18" s="13">
        <v>44</v>
      </c>
      <c r="M18" s="13">
        <v>0</v>
      </c>
      <c r="N18" s="16"/>
      <c r="O18" s="14"/>
      <c r="P18" s="14"/>
      <c r="Q18" s="17">
        <f>IF(F18&lt;2,IF(M18&lt;2,0,1),1)</f>
        <v>0</v>
      </c>
      <c r="R18" s="18">
        <f>K18-D18</f>
        <v>0</v>
      </c>
      <c r="S18" s="17">
        <f>IF(R18&gt;0.09,1,0)</f>
        <v>0</v>
      </c>
      <c r="T18" s="17">
        <v>0</v>
      </c>
      <c r="U18" s="17">
        <v>1</v>
      </c>
      <c r="V18" s="17">
        <f>SUM(J18,Q18,S18,T18,U18)</f>
        <v>1</v>
      </c>
      <c r="W18" s="17">
        <v>1</v>
      </c>
      <c r="X18" s="17">
        <v>1</v>
      </c>
      <c r="Y18" s="12">
        <v>0</v>
      </c>
    </row>
    <row r="19" spans="1:25" s="19" customFormat="1" ht="14.25" customHeight="1" x14ac:dyDescent="0.2">
      <c r="A19" s="13">
        <v>53</v>
      </c>
      <c r="B19" s="13">
        <v>156</v>
      </c>
      <c r="C19" s="13">
        <v>98</v>
      </c>
      <c r="D19" s="15">
        <v>1</v>
      </c>
      <c r="E19" s="13">
        <v>25</v>
      </c>
      <c r="F19" s="13">
        <v>0</v>
      </c>
      <c r="G19" s="15"/>
      <c r="H19" s="13">
        <v>72</v>
      </c>
      <c r="I19" s="14">
        <f>H19/A19</f>
        <v>1.3584905660377358</v>
      </c>
      <c r="J19" s="13">
        <v>0</v>
      </c>
      <c r="K19" s="15">
        <v>1</v>
      </c>
      <c r="L19" s="13">
        <v>39</v>
      </c>
      <c r="M19" s="13">
        <v>0</v>
      </c>
      <c r="N19" s="16"/>
      <c r="O19" s="14"/>
      <c r="P19" s="14"/>
      <c r="Q19" s="17">
        <f>IF(F19&lt;2,IF(M19&lt;2,0,1),1)</f>
        <v>0</v>
      </c>
      <c r="R19" s="18">
        <f>K19-D19</f>
        <v>0</v>
      </c>
      <c r="S19" s="17">
        <f>IF(R19&gt;0.09,1,0)</f>
        <v>0</v>
      </c>
      <c r="T19" s="17">
        <v>0</v>
      </c>
      <c r="U19" s="17">
        <v>1</v>
      </c>
      <c r="V19" s="17">
        <f>SUM(J19,Q19,S19,T19,U19)</f>
        <v>1</v>
      </c>
      <c r="W19" s="17">
        <v>1</v>
      </c>
      <c r="X19" s="17">
        <v>1</v>
      </c>
      <c r="Y19" s="12">
        <v>1</v>
      </c>
    </row>
    <row r="20" spans="1:25" s="19" customFormat="1" ht="14.25" customHeight="1" x14ac:dyDescent="0.2">
      <c r="A20" s="13">
        <v>64</v>
      </c>
      <c r="B20" s="13">
        <v>103</v>
      </c>
      <c r="C20" s="13">
        <v>86</v>
      </c>
      <c r="D20" s="15">
        <v>1</v>
      </c>
      <c r="E20" s="13">
        <v>47</v>
      </c>
      <c r="F20" s="13">
        <v>0</v>
      </c>
      <c r="G20" s="15"/>
      <c r="H20" s="13">
        <v>102</v>
      </c>
      <c r="I20" s="14">
        <f>H20/A20</f>
        <v>1.59375</v>
      </c>
      <c r="J20" s="13">
        <v>0</v>
      </c>
      <c r="K20" s="15">
        <v>1</v>
      </c>
      <c r="L20" s="13">
        <v>97</v>
      </c>
      <c r="M20" s="13">
        <v>0</v>
      </c>
      <c r="N20" s="16"/>
      <c r="O20" s="14"/>
      <c r="P20" s="14"/>
      <c r="Q20" s="17">
        <f>IF(F20&lt;2,IF(M20&lt;2,0,1),1)</f>
        <v>0</v>
      </c>
      <c r="R20" s="18">
        <f>K20-D20</f>
        <v>0</v>
      </c>
      <c r="S20" s="17">
        <f>IF(R20&gt;0.09,1,0)</f>
        <v>0</v>
      </c>
      <c r="T20" s="17">
        <v>0</v>
      </c>
      <c r="U20" s="17">
        <v>0</v>
      </c>
      <c r="V20" s="17">
        <f>SUM(J20,Q20,S20,T20,U20)</f>
        <v>0</v>
      </c>
      <c r="W20" s="17">
        <v>0</v>
      </c>
      <c r="X20" s="17">
        <v>0</v>
      </c>
      <c r="Y20" s="12">
        <v>1</v>
      </c>
    </row>
    <row r="21" spans="1:25" s="19" customFormat="1" ht="14.25" customHeight="1" x14ac:dyDescent="0.2">
      <c r="A21" s="13">
        <v>66</v>
      </c>
      <c r="B21" s="13">
        <v>128</v>
      </c>
      <c r="C21" s="13">
        <v>88</v>
      </c>
      <c r="D21" s="15">
        <v>1</v>
      </c>
      <c r="E21" s="13">
        <v>12</v>
      </c>
      <c r="F21" s="13">
        <v>0</v>
      </c>
      <c r="G21" s="15"/>
      <c r="H21" s="13">
        <v>160</v>
      </c>
      <c r="I21" s="14">
        <f>H21/A21</f>
        <v>2.4242424242424243</v>
      </c>
      <c r="J21" s="13">
        <v>0</v>
      </c>
      <c r="K21" s="15">
        <v>1</v>
      </c>
      <c r="L21" s="13">
        <v>35</v>
      </c>
      <c r="M21" s="13">
        <v>0</v>
      </c>
      <c r="N21" s="16"/>
      <c r="O21" s="14"/>
      <c r="P21" s="14"/>
      <c r="Q21" s="17">
        <f>IF(F21&lt;2,IF(M21&lt;2,0,1),1)</f>
        <v>0</v>
      </c>
      <c r="R21" s="18">
        <f>K21-D21</f>
        <v>0</v>
      </c>
      <c r="S21" s="17">
        <f>IF(R21&gt;0.09,1,0)</f>
        <v>0</v>
      </c>
      <c r="T21" s="17">
        <v>0</v>
      </c>
      <c r="U21" s="17">
        <v>0</v>
      </c>
      <c r="V21" s="17">
        <f>SUM(J21,Q21,S21,T21,U21)</f>
        <v>0</v>
      </c>
      <c r="W21" s="17">
        <v>0</v>
      </c>
      <c r="X21" s="17">
        <v>0</v>
      </c>
      <c r="Y21" s="12">
        <v>0</v>
      </c>
    </row>
    <row r="22" spans="1:25" s="19" customFormat="1" ht="14.25" customHeight="1" x14ac:dyDescent="0.2">
      <c r="A22" s="13">
        <v>71</v>
      </c>
      <c r="B22" s="13">
        <v>119</v>
      </c>
      <c r="C22" s="13">
        <v>89</v>
      </c>
      <c r="D22" s="15">
        <v>1</v>
      </c>
      <c r="E22" s="13">
        <v>18</v>
      </c>
      <c r="F22" s="13">
        <v>0</v>
      </c>
      <c r="G22" s="15"/>
      <c r="H22" s="13">
        <v>160</v>
      </c>
      <c r="I22" s="14">
        <f>H22/A22</f>
        <v>2.2535211267605635</v>
      </c>
      <c r="J22" s="13">
        <v>0</v>
      </c>
      <c r="K22" s="15">
        <v>1</v>
      </c>
      <c r="L22" s="13">
        <v>46</v>
      </c>
      <c r="M22" s="13">
        <v>0</v>
      </c>
      <c r="N22" s="16"/>
      <c r="O22" s="14"/>
      <c r="P22" s="14"/>
      <c r="Q22" s="17">
        <f>IF(F22&lt;2,IF(M22&lt;2,0,1),1)</f>
        <v>0</v>
      </c>
      <c r="R22" s="18">
        <f>K22-D22</f>
        <v>0</v>
      </c>
      <c r="S22" s="17">
        <f>IF(R22&gt;0.09,1,0)</f>
        <v>0</v>
      </c>
      <c r="T22" s="17">
        <v>0</v>
      </c>
      <c r="U22" s="17">
        <v>0</v>
      </c>
      <c r="V22" s="17">
        <f>SUM(J22,Q22,S22,T22,U22)</f>
        <v>0</v>
      </c>
      <c r="W22" s="17">
        <v>0</v>
      </c>
      <c r="X22" s="17">
        <v>0</v>
      </c>
      <c r="Y22" s="12">
        <v>0</v>
      </c>
    </row>
    <row r="23" spans="1:25" s="25" customFormat="1" ht="14.25" customHeight="1" x14ac:dyDescent="0.2">
      <c r="A23" s="21">
        <v>79</v>
      </c>
      <c r="B23" s="21">
        <v>102</v>
      </c>
      <c r="C23" s="21">
        <v>89</v>
      </c>
      <c r="D23" s="22">
        <v>1</v>
      </c>
      <c r="E23" s="21">
        <v>30</v>
      </c>
      <c r="F23" s="21">
        <v>0</v>
      </c>
      <c r="G23" s="22">
        <v>14.7</v>
      </c>
      <c r="H23" s="21">
        <v>96</v>
      </c>
      <c r="I23" s="22">
        <f>H23/A23</f>
        <v>1.2151898734177216</v>
      </c>
      <c r="J23" s="21">
        <v>1</v>
      </c>
      <c r="K23" s="22">
        <v>1</v>
      </c>
      <c r="L23" s="21">
        <v>56</v>
      </c>
      <c r="M23" s="21">
        <v>0</v>
      </c>
      <c r="N23" s="23">
        <v>15.2</v>
      </c>
      <c r="O23" s="22">
        <f>N23/G23</f>
        <v>1.0340136054421769</v>
      </c>
      <c r="P23" s="22">
        <f>N23-G23</f>
        <v>0.5</v>
      </c>
      <c r="Q23" s="21">
        <f>IF(F23&lt;2,IF(M23&lt;2,0,1),1)</f>
        <v>0</v>
      </c>
      <c r="R23" s="24">
        <f>K23-D23</f>
        <v>0</v>
      </c>
      <c r="S23" s="21">
        <f>IF(R23&gt;0.09,1,0)</f>
        <v>0</v>
      </c>
      <c r="T23" s="21">
        <v>0</v>
      </c>
      <c r="U23" s="21">
        <v>1</v>
      </c>
      <c r="V23" s="21">
        <f>SUM(J23,Q23,S23,T23,U23)</f>
        <v>2</v>
      </c>
      <c r="W23" s="21">
        <v>2</v>
      </c>
      <c r="X23" s="21">
        <v>2</v>
      </c>
      <c r="Y23" s="20">
        <v>0</v>
      </c>
    </row>
    <row r="24" spans="1:25" s="19" customFormat="1" ht="15" customHeight="1" x14ac:dyDescent="0.2">
      <c r="A24" s="13">
        <v>71</v>
      </c>
      <c r="B24" s="13">
        <v>136</v>
      </c>
      <c r="C24" s="13">
        <v>74</v>
      </c>
      <c r="D24" s="15">
        <v>1</v>
      </c>
      <c r="E24" s="13">
        <v>30</v>
      </c>
      <c r="F24" s="13">
        <v>0</v>
      </c>
      <c r="G24" s="15">
        <v>20.399999999999999</v>
      </c>
      <c r="H24" s="13">
        <v>96</v>
      </c>
      <c r="I24" s="14">
        <f>H24/A24</f>
        <v>1.352112676056338</v>
      </c>
      <c r="J24" s="13">
        <v>0</v>
      </c>
      <c r="K24" s="15">
        <v>1</v>
      </c>
      <c r="L24" s="13">
        <v>68</v>
      </c>
      <c r="M24" s="13">
        <v>0</v>
      </c>
      <c r="N24" s="16">
        <v>19.899999999999999</v>
      </c>
      <c r="O24" s="14">
        <f>N24/G24</f>
        <v>0.97549019607843135</v>
      </c>
      <c r="P24" s="14">
        <f>N24-G24</f>
        <v>-0.5</v>
      </c>
      <c r="Q24" s="17">
        <f>IF(F24&lt;2,IF(M24&lt;2,0,1),1)</f>
        <v>0</v>
      </c>
      <c r="R24" s="18">
        <f>K24-D24</f>
        <v>0</v>
      </c>
      <c r="S24" s="17">
        <f>IF(R24&gt;0.09,1,0)</f>
        <v>0</v>
      </c>
      <c r="T24" s="17">
        <v>0</v>
      </c>
      <c r="U24" s="17">
        <v>0</v>
      </c>
      <c r="V24" s="17">
        <f>SUM(J24,Q24,S24,T24,U24)</f>
        <v>0</v>
      </c>
      <c r="W24" s="17">
        <v>0</v>
      </c>
      <c r="X24" s="17">
        <v>0</v>
      </c>
      <c r="Y24" s="12">
        <v>0</v>
      </c>
    </row>
    <row r="25" spans="1:25" s="19" customFormat="1" ht="14.25" customHeight="1" x14ac:dyDescent="0.2">
      <c r="A25" s="13">
        <v>58</v>
      </c>
      <c r="B25" s="13">
        <v>145</v>
      </c>
      <c r="C25" s="13">
        <v>83</v>
      </c>
      <c r="D25" s="15">
        <v>1</v>
      </c>
      <c r="E25" s="13">
        <v>18</v>
      </c>
      <c r="F25" s="13">
        <v>0</v>
      </c>
      <c r="G25" s="15">
        <v>19.899999999999999</v>
      </c>
      <c r="H25" s="13">
        <v>81</v>
      </c>
      <c r="I25" s="14">
        <f>H25/A25</f>
        <v>1.396551724137931</v>
      </c>
      <c r="J25" s="13">
        <v>0</v>
      </c>
      <c r="K25" s="15">
        <v>1</v>
      </c>
      <c r="L25" s="13">
        <v>55</v>
      </c>
      <c r="M25" s="13">
        <v>1</v>
      </c>
      <c r="N25" s="16">
        <v>20.7</v>
      </c>
      <c r="O25" s="14">
        <f>N25/G25</f>
        <v>1.0402010050251256</v>
      </c>
      <c r="P25" s="14">
        <f>N25-G25</f>
        <v>0.80000000000000071</v>
      </c>
      <c r="Q25" s="17">
        <f>IF(F25&lt;2,IF(M25&lt;2,0,1),1)</f>
        <v>0</v>
      </c>
      <c r="R25" s="18">
        <f>K25-D25</f>
        <v>0</v>
      </c>
      <c r="S25" s="17">
        <f>IF(R25&gt;0.09,1,0)</f>
        <v>0</v>
      </c>
      <c r="T25" s="17">
        <v>0</v>
      </c>
      <c r="U25" s="17">
        <v>0</v>
      </c>
      <c r="V25" s="17">
        <f>SUM(J25,Q25,S25,T25,U25)</f>
        <v>0</v>
      </c>
      <c r="W25" s="17">
        <v>0</v>
      </c>
      <c r="X25" s="17">
        <v>0</v>
      </c>
      <c r="Y25" s="12">
        <v>0</v>
      </c>
    </row>
    <row r="26" spans="1:25" s="19" customFormat="1" ht="14.25" customHeight="1" x14ac:dyDescent="0.2">
      <c r="A26" s="13">
        <v>53</v>
      </c>
      <c r="B26" s="13">
        <v>99</v>
      </c>
      <c r="C26" s="13">
        <v>76</v>
      </c>
      <c r="D26" s="15">
        <v>1</v>
      </c>
      <c r="E26" s="13">
        <v>19</v>
      </c>
      <c r="F26" s="13">
        <v>0</v>
      </c>
      <c r="G26" s="15"/>
      <c r="H26" s="13">
        <v>81</v>
      </c>
      <c r="I26" s="14">
        <f>H26/A26</f>
        <v>1.5283018867924529</v>
      </c>
      <c r="J26" s="13">
        <v>0</v>
      </c>
      <c r="K26" s="15">
        <v>1</v>
      </c>
      <c r="L26" s="13">
        <v>45</v>
      </c>
      <c r="M26" s="13">
        <v>0</v>
      </c>
      <c r="N26" s="16"/>
      <c r="O26" s="14"/>
      <c r="P26" s="14"/>
      <c r="Q26" s="17">
        <f>IF(F26&lt;2,IF(M26&lt;2,0,1),1)</f>
        <v>0</v>
      </c>
      <c r="R26" s="18">
        <f>K26-D26</f>
        <v>0</v>
      </c>
      <c r="S26" s="17">
        <f>IF(R26&gt;0.09,1,0)</f>
        <v>0</v>
      </c>
      <c r="T26" s="17">
        <v>0</v>
      </c>
      <c r="U26" s="17">
        <v>0</v>
      </c>
      <c r="V26" s="17">
        <f>SUM(J26,Q26,S26,T26,U26)</f>
        <v>0</v>
      </c>
      <c r="W26" s="17">
        <v>0</v>
      </c>
      <c r="X26" s="17">
        <v>0</v>
      </c>
      <c r="Y26" s="12">
        <v>0</v>
      </c>
    </row>
    <row r="27" spans="1:25" s="19" customFormat="1" ht="14.25" customHeight="1" x14ac:dyDescent="0.2">
      <c r="A27" s="13">
        <v>83</v>
      </c>
      <c r="B27" s="13">
        <v>129</v>
      </c>
      <c r="C27" s="13">
        <v>74</v>
      </c>
      <c r="D27" s="15">
        <v>1</v>
      </c>
      <c r="E27" s="13">
        <v>38</v>
      </c>
      <c r="F27" s="13">
        <v>2</v>
      </c>
      <c r="G27" s="15"/>
      <c r="H27" s="13">
        <v>111</v>
      </c>
      <c r="I27" s="14">
        <f>H27/A27</f>
        <v>1.3373493975903614</v>
      </c>
      <c r="J27" s="13">
        <v>0</v>
      </c>
      <c r="K27" s="15">
        <v>1</v>
      </c>
      <c r="L27" s="13">
        <v>112</v>
      </c>
      <c r="M27" s="13">
        <v>3</v>
      </c>
      <c r="N27" s="16"/>
      <c r="O27" s="14"/>
      <c r="P27" s="14"/>
      <c r="Q27" s="17">
        <f>IF(F27&lt;2,IF(M27&lt;2,0,1),1)</f>
        <v>1</v>
      </c>
      <c r="R27" s="18">
        <f>K27-D27</f>
        <v>0</v>
      </c>
      <c r="S27" s="17">
        <f>IF(R27&gt;0.09,1,0)</f>
        <v>0</v>
      </c>
      <c r="T27" s="17">
        <v>1</v>
      </c>
      <c r="U27" s="17">
        <v>0</v>
      </c>
      <c r="V27" s="17">
        <f>SUM(J27,Q27,S27,T27,U27)</f>
        <v>2</v>
      </c>
      <c r="W27" s="17">
        <v>2</v>
      </c>
      <c r="X27" s="17">
        <v>2</v>
      </c>
      <c r="Y27" s="12">
        <v>0</v>
      </c>
    </row>
    <row r="28" spans="1:25" s="19" customFormat="1" ht="14.25" customHeight="1" x14ac:dyDescent="0.2">
      <c r="A28" s="13">
        <v>75</v>
      </c>
      <c r="B28" s="13">
        <v>157</v>
      </c>
      <c r="C28" s="13">
        <v>78</v>
      </c>
      <c r="D28" s="15">
        <v>1</v>
      </c>
      <c r="E28" s="13">
        <v>31</v>
      </c>
      <c r="F28" s="13">
        <v>0</v>
      </c>
      <c r="G28" s="15"/>
      <c r="H28" s="13">
        <v>140</v>
      </c>
      <c r="I28" s="14">
        <f>H28/A28</f>
        <v>1.8666666666666667</v>
      </c>
      <c r="J28" s="13">
        <v>0</v>
      </c>
      <c r="K28" s="15">
        <v>1</v>
      </c>
      <c r="L28" s="13">
        <v>59</v>
      </c>
      <c r="M28" s="13">
        <v>0</v>
      </c>
      <c r="N28" s="16"/>
      <c r="O28" s="14"/>
      <c r="P28" s="14"/>
      <c r="Q28" s="17">
        <f>IF(F28&lt;2,IF(M28&lt;2,0,1),1)</f>
        <v>0</v>
      </c>
      <c r="R28" s="18">
        <f>K28-D28</f>
        <v>0</v>
      </c>
      <c r="S28" s="17">
        <f>IF(R28&gt;0.09,1,0)</f>
        <v>0</v>
      </c>
      <c r="T28" s="17">
        <v>0</v>
      </c>
      <c r="U28" s="17">
        <v>1</v>
      </c>
      <c r="V28" s="17">
        <f>SUM(J28,Q28,S28,T28,U28)</f>
        <v>1</v>
      </c>
      <c r="W28" s="17">
        <v>1</v>
      </c>
      <c r="X28" s="17">
        <v>1</v>
      </c>
      <c r="Y28" s="12">
        <v>0</v>
      </c>
    </row>
    <row r="29" spans="1:25" s="19" customFormat="1" ht="14.25" customHeight="1" x14ac:dyDescent="0.2">
      <c r="A29" s="13">
        <v>75</v>
      </c>
      <c r="B29" s="13">
        <v>125</v>
      </c>
      <c r="C29" s="13">
        <v>79</v>
      </c>
      <c r="D29" s="15">
        <v>1</v>
      </c>
      <c r="E29" s="13">
        <v>51</v>
      </c>
      <c r="F29" s="13">
        <v>0</v>
      </c>
      <c r="G29" s="15">
        <v>17.600000000000001</v>
      </c>
      <c r="H29" s="13">
        <v>150</v>
      </c>
      <c r="I29" s="14">
        <f>H29/A29</f>
        <v>2</v>
      </c>
      <c r="J29" s="13">
        <v>0</v>
      </c>
      <c r="K29" s="15">
        <v>1.117</v>
      </c>
      <c r="L29" s="13">
        <v>104</v>
      </c>
      <c r="M29" s="13">
        <v>0</v>
      </c>
      <c r="N29" s="16"/>
      <c r="O29" s="14"/>
      <c r="P29" s="14"/>
      <c r="Q29" s="17">
        <f>IF(F29&lt;2,IF(M29&lt;2,0,1),1)</f>
        <v>0</v>
      </c>
      <c r="R29" s="18">
        <f>K29-D29</f>
        <v>0.11699999999999999</v>
      </c>
      <c r="S29" s="17">
        <f>IF(R29&gt;0.09,1,0)</f>
        <v>1</v>
      </c>
      <c r="T29" s="17">
        <v>0</v>
      </c>
      <c r="U29" s="17">
        <v>0</v>
      </c>
      <c r="V29" s="17">
        <f>SUM(J29,Q29,S29,T29,U29)</f>
        <v>1</v>
      </c>
      <c r="W29" s="17">
        <v>1</v>
      </c>
      <c r="X29" s="17">
        <v>1</v>
      </c>
      <c r="Y29" s="12">
        <v>0</v>
      </c>
    </row>
    <row r="30" spans="1:25" s="19" customFormat="1" ht="14.25" customHeight="1" x14ac:dyDescent="0.2">
      <c r="A30" s="13">
        <v>48</v>
      </c>
      <c r="B30" s="13">
        <v>103</v>
      </c>
      <c r="C30" s="13">
        <v>67</v>
      </c>
      <c r="D30" s="15">
        <v>1</v>
      </c>
      <c r="E30" s="13">
        <v>10</v>
      </c>
      <c r="F30" s="13">
        <v>0</v>
      </c>
      <c r="G30" s="15">
        <v>14.3</v>
      </c>
      <c r="H30" s="13">
        <v>66</v>
      </c>
      <c r="I30" s="14">
        <f>H30/A30</f>
        <v>1.375</v>
      </c>
      <c r="J30" s="13">
        <v>0</v>
      </c>
      <c r="K30" s="15">
        <v>1</v>
      </c>
      <c r="L30" s="13">
        <v>53</v>
      </c>
      <c r="M30" s="13">
        <v>0</v>
      </c>
      <c r="N30" s="16">
        <v>16.3</v>
      </c>
      <c r="O30" s="14">
        <f>N30/G30</f>
        <v>1.1398601398601398</v>
      </c>
      <c r="P30" s="14">
        <f>N30-G30</f>
        <v>2</v>
      </c>
      <c r="Q30" s="17">
        <f>IF(F30&lt;2,IF(M30&lt;2,0,1),1)</f>
        <v>0</v>
      </c>
      <c r="R30" s="18">
        <f>K30-D30</f>
        <v>0</v>
      </c>
      <c r="S30" s="17">
        <f>IF(R30&gt;0.09,1,0)</f>
        <v>0</v>
      </c>
      <c r="T30" s="17">
        <v>1</v>
      </c>
      <c r="U30" s="17">
        <v>0</v>
      </c>
      <c r="V30" s="17">
        <f>SUM(J30,Q30,S30,T30,U30)</f>
        <v>1</v>
      </c>
      <c r="W30" s="17">
        <v>1</v>
      </c>
      <c r="X30" s="17">
        <v>1</v>
      </c>
      <c r="Y30" s="12">
        <v>0</v>
      </c>
    </row>
    <row r="31" spans="1:25" s="19" customFormat="1" ht="14.25" customHeight="1" x14ac:dyDescent="0.2">
      <c r="A31" s="13">
        <v>67</v>
      </c>
      <c r="B31" s="13">
        <v>140</v>
      </c>
      <c r="C31" s="13">
        <v>83</v>
      </c>
      <c r="D31" s="15">
        <v>1.1200000000000001</v>
      </c>
      <c r="E31" s="13">
        <v>32</v>
      </c>
      <c r="F31" s="13">
        <v>0</v>
      </c>
      <c r="G31" s="15"/>
      <c r="H31" s="13">
        <v>140</v>
      </c>
      <c r="I31" s="14">
        <f>H31/A31</f>
        <v>2.08955223880597</v>
      </c>
      <c r="J31" s="13">
        <v>0</v>
      </c>
      <c r="K31" s="15">
        <v>1.25</v>
      </c>
      <c r="L31" s="13">
        <v>88</v>
      </c>
      <c r="M31" s="13">
        <v>0</v>
      </c>
      <c r="N31" s="16"/>
      <c r="O31" s="14"/>
      <c r="P31" s="14"/>
      <c r="Q31" s="17">
        <f>IF(F31&lt;2,IF(M31&lt;2,0,1),1)</f>
        <v>0</v>
      </c>
      <c r="R31" s="18">
        <f>K31-D31</f>
        <v>0.12999999999999989</v>
      </c>
      <c r="S31" s="17">
        <f>IF(R31&gt;0.09,1,0)</f>
        <v>1</v>
      </c>
      <c r="T31" s="17">
        <v>0</v>
      </c>
      <c r="U31" s="17">
        <v>0</v>
      </c>
      <c r="V31" s="17">
        <f>SUM(J31,Q31,S31,T31,U31)</f>
        <v>1</v>
      </c>
      <c r="W31" s="17">
        <v>1</v>
      </c>
      <c r="X31" s="17">
        <v>1</v>
      </c>
      <c r="Y31" s="12">
        <v>0</v>
      </c>
    </row>
    <row r="32" spans="1:25" s="19" customFormat="1" ht="14.25" customHeight="1" x14ac:dyDescent="0.2">
      <c r="A32" s="13">
        <v>76</v>
      </c>
      <c r="B32" s="13">
        <v>169</v>
      </c>
      <c r="C32" s="13">
        <v>90</v>
      </c>
      <c r="D32" s="15">
        <v>1</v>
      </c>
      <c r="E32" s="13">
        <v>26</v>
      </c>
      <c r="F32" s="13">
        <v>2</v>
      </c>
      <c r="G32" s="15"/>
      <c r="H32" s="13">
        <v>140</v>
      </c>
      <c r="I32" s="14">
        <f>H32/A32</f>
        <v>1.8421052631578947</v>
      </c>
      <c r="J32" s="13">
        <v>0</v>
      </c>
      <c r="K32" s="15">
        <v>1</v>
      </c>
      <c r="L32" s="13">
        <v>119</v>
      </c>
      <c r="M32" s="13">
        <v>1</v>
      </c>
      <c r="N32" s="16"/>
      <c r="O32" s="14"/>
      <c r="P32" s="14"/>
      <c r="Q32" s="17">
        <f>IF(F32&lt;2,IF(M32&lt;2,0,1),1)</f>
        <v>1</v>
      </c>
      <c r="R32" s="18">
        <f>K32-D32</f>
        <v>0</v>
      </c>
      <c r="S32" s="17">
        <f>IF(R32&gt;0.09,1,0)</f>
        <v>0</v>
      </c>
      <c r="T32" s="17">
        <v>1</v>
      </c>
      <c r="U32" s="17">
        <v>0</v>
      </c>
      <c r="V32" s="17">
        <f>SUM(J32,Q32,S32,T32,U32)</f>
        <v>2</v>
      </c>
      <c r="W32" s="17">
        <v>2</v>
      </c>
      <c r="X32" s="17">
        <v>2</v>
      </c>
      <c r="Y32" s="12">
        <v>0</v>
      </c>
    </row>
    <row r="33" spans="1:25" s="19" customFormat="1" ht="14.25" customHeight="1" x14ac:dyDescent="0.2">
      <c r="A33" s="13">
        <v>64</v>
      </c>
      <c r="B33" s="13">
        <v>143</v>
      </c>
      <c r="C33" s="13">
        <v>85</v>
      </c>
      <c r="D33" s="15">
        <v>1</v>
      </c>
      <c r="E33" s="13">
        <v>21</v>
      </c>
      <c r="F33" s="13">
        <v>0</v>
      </c>
      <c r="G33" s="15"/>
      <c r="H33" s="13">
        <v>140</v>
      </c>
      <c r="I33" s="14">
        <f>H33/A33</f>
        <v>2.1875</v>
      </c>
      <c r="J33" s="13">
        <v>0</v>
      </c>
      <c r="K33" s="15">
        <v>1.117</v>
      </c>
      <c r="L33" s="13">
        <v>49</v>
      </c>
      <c r="M33" s="13">
        <v>4</v>
      </c>
      <c r="N33" s="16"/>
      <c r="O33" s="14"/>
      <c r="P33" s="14"/>
      <c r="Q33" s="17">
        <f>IF(F33&lt;2,IF(M33&lt;2,0,1),1)</f>
        <v>1</v>
      </c>
      <c r="R33" s="18">
        <f>K33-D33</f>
        <v>0.11699999999999999</v>
      </c>
      <c r="S33" s="17">
        <f>IF(R33&gt;0.09,1,0)</f>
        <v>1</v>
      </c>
      <c r="T33" s="17">
        <v>0</v>
      </c>
      <c r="U33" s="17">
        <v>0</v>
      </c>
      <c r="V33" s="17">
        <f>SUM(J33,Q33,S33,T33,U33)</f>
        <v>2</v>
      </c>
      <c r="W33" s="17">
        <v>2</v>
      </c>
      <c r="X33" s="17">
        <v>2</v>
      </c>
      <c r="Y33" s="12">
        <v>0</v>
      </c>
    </row>
    <row r="34" spans="1:25" s="19" customFormat="1" ht="14.25" customHeight="1" x14ac:dyDescent="0.2">
      <c r="A34" s="13">
        <v>48</v>
      </c>
      <c r="B34" s="13">
        <v>161</v>
      </c>
      <c r="C34" s="13">
        <v>73</v>
      </c>
      <c r="D34" s="15">
        <v>1</v>
      </c>
      <c r="E34" s="13">
        <v>23</v>
      </c>
      <c r="F34" s="13">
        <v>1</v>
      </c>
      <c r="G34" s="15"/>
      <c r="H34" s="13">
        <v>140</v>
      </c>
      <c r="I34" s="14">
        <f>H34/A34</f>
        <v>2.9166666666666665</v>
      </c>
      <c r="J34" s="13">
        <v>0</v>
      </c>
      <c r="K34" s="15">
        <v>1</v>
      </c>
      <c r="L34" s="13">
        <v>50</v>
      </c>
      <c r="M34" s="13">
        <v>2</v>
      </c>
      <c r="N34" s="16"/>
      <c r="O34" s="14"/>
      <c r="P34" s="14"/>
      <c r="Q34" s="17">
        <f>IF(F34&lt;2,IF(M34&lt;2,0,1),1)</f>
        <v>1</v>
      </c>
      <c r="R34" s="18">
        <f>K34-D34</f>
        <v>0</v>
      </c>
      <c r="S34" s="17">
        <f>IF(R34&gt;0.09,1,0)</f>
        <v>0</v>
      </c>
      <c r="T34" s="17">
        <v>0</v>
      </c>
      <c r="U34" s="17">
        <v>0</v>
      </c>
      <c r="V34" s="17">
        <f>SUM(J34,Q34,S34,T34,U34)</f>
        <v>1</v>
      </c>
      <c r="W34" s="17">
        <v>1</v>
      </c>
      <c r="X34" s="17">
        <v>1</v>
      </c>
      <c r="Y34" s="12">
        <v>1</v>
      </c>
    </row>
    <row r="35" spans="1:25" s="19" customFormat="1" ht="14.25" customHeight="1" x14ac:dyDescent="0.2">
      <c r="A35" s="13">
        <v>50</v>
      </c>
      <c r="B35" s="13">
        <v>144</v>
      </c>
      <c r="C35" s="13">
        <v>74</v>
      </c>
      <c r="D35" s="15">
        <v>1</v>
      </c>
      <c r="E35" s="13">
        <v>19</v>
      </c>
      <c r="F35" s="13">
        <v>0</v>
      </c>
      <c r="G35" s="15"/>
      <c r="H35" s="13">
        <v>140</v>
      </c>
      <c r="I35" s="14">
        <f>H35/A35</f>
        <v>2.8</v>
      </c>
      <c r="J35" s="13">
        <v>0</v>
      </c>
      <c r="K35" s="15">
        <v>1</v>
      </c>
      <c r="L35" s="13">
        <v>30</v>
      </c>
      <c r="M35" s="13">
        <v>0</v>
      </c>
      <c r="N35" s="16"/>
      <c r="O35" s="14"/>
      <c r="P35" s="14"/>
      <c r="Q35" s="17">
        <f>IF(F35&lt;2,IF(M35&lt;2,0,1),1)</f>
        <v>0</v>
      </c>
      <c r="R35" s="18">
        <f>K35-D35</f>
        <v>0</v>
      </c>
      <c r="S35" s="17">
        <f>IF(R35&gt;0.09,1,0)</f>
        <v>0</v>
      </c>
      <c r="T35" s="17">
        <v>0</v>
      </c>
      <c r="U35" s="17">
        <v>1</v>
      </c>
      <c r="V35" s="17">
        <f>SUM(J35,Q35,S35,T35,U35)</f>
        <v>1</v>
      </c>
      <c r="W35" s="17">
        <v>1</v>
      </c>
      <c r="X35" s="17">
        <v>2</v>
      </c>
      <c r="Y35" s="12">
        <v>0</v>
      </c>
    </row>
    <row r="36" spans="1:25" s="19" customFormat="1" ht="12.75" customHeight="1" x14ac:dyDescent="0.2">
      <c r="A36" s="13">
        <v>78</v>
      </c>
      <c r="B36" s="13">
        <v>158</v>
      </c>
      <c r="C36" s="13">
        <v>52</v>
      </c>
      <c r="D36" s="15">
        <v>1</v>
      </c>
      <c r="E36" s="13">
        <v>25</v>
      </c>
      <c r="F36" s="13">
        <v>0</v>
      </c>
      <c r="G36" s="15"/>
      <c r="H36" s="13">
        <v>140</v>
      </c>
      <c r="I36" s="14">
        <f>H36/A36</f>
        <v>1.7948717948717949</v>
      </c>
      <c r="J36" s="13">
        <v>0</v>
      </c>
      <c r="K36" s="15">
        <v>1.1200000000000001</v>
      </c>
      <c r="L36" s="13">
        <v>55</v>
      </c>
      <c r="M36" s="13">
        <v>0</v>
      </c>
      <c r="N36" s="16"/>
      <c r="O36" s="14"/>
      <c r="P36" s="14"/>
      <c r="Q36" s="17">
        <f>IF(F36&lt;2,IF(M36&lt;2,0,1),1)</f>
        <v>0</v>
      </c>
      <c r="R36" s="18">
        <f>K36-D36</f>
        <v>0.12000000000000011</v>
      </c>
      <c r="S36" s="17">
        <f>IF(R36&gt;0.09,1,0)</f>
        <v>1</v>
      </c>
      <c r="T36" s="17">
        <v>0</v>
      </c>
      <c r="U36" s="17">
        <v>0</v>
      </c>
      <c r="V36" s="17">
        <f>SUM(J36,Q36,S36,T36,U36)</f>
        <v>1</v>
      </c>
      <c r="W36" s="17">
        <v>1</v>
      </c>
      <c r="X36" s="17">
        <v>2</v>
      </c>
      <c r="Y36" s="12">
        <v>0</v>
      </c>
    </row>
    <row r="37" spans="1:25" s="19" customFormat="1" ht="14.25" customHeight="1" x14ac:dyDescent="0.2">
      <c r="A37" s="13">
        <v>61</v>
      </c>
      <c r="B37" s="13">
        <v>125</v>
      </c>
      <c r="C37" s="13">
        <v>77</v>
      </c>
      <c r="D37" s="15">
        <v>1</v>
      </c>
      <c r="E37" s="13">
        <v>31</v>
      </c>
      <c r="F37" s="13">
        <v>0</v>
      </c>
      <c r="G37" s="15"/>
      <c r="H37" s="13">
        <v>160</v>
      </c>
      <c r="I37" s="14">
        <f>H37/A37</f>
        <v>2.622950819672131</v>
      </c>
      <c r="J37" s="13">
        <v>0</v>
      </c>
      <c r="K37" s="15">
        <v>1</v>
      </c>
      <c r="L37" s="13">
        <v>80</v>
      </c>
      <c r="M37" s="13">
        <v>0</v>
      </c>
      <c r="N37" s="16"/>
      <c r="O37" s="14"/>
      <c r="P37" s="14"/>
      <c r="Q37" s="17">
        <f>IF(F37&lt;2,IF(M37&lt;2,0,1),1)</f>
        <v>0</v>
      </c>
      <c r="R37" s="18">
        <f>K37-D37</f>
        <v>0</v>
      </c>
      <c r="S37" s="17">
        <f>IF(R37&gt;0.09,1,0)</f>
        <v>0</v>
      </c>
      <c r="T37" s="17">
        <v>0</v>
      </c>
      <c r="U37" s="17">
        <v>0</v>
      </c>
      <c r="V37" s="17">
        <f>SUM(J37,Q37,S37,T37,U37)</f>
        <v>0</v>
      </c>
      <c r="W37" s="17">
        <v>0</v>
      </c>
      <c r="X37" s="17">
        <v>0</v>
      </c>
      <c r="Y37" s="12">
        <v>0</v>
      </c>
    </row>
    <row r="38" spans="1:25" s="19" customFormat="1" ht="14.25" customHeight="1" x14ac:dyDescent="0.2">
      <c r="A38" s="13">
        <v>62</v>
      </c>
      <c r="B38" s="13">
        <v>116</v>
      </c>
      <c r="C38" s="13">
        <v>88</v>
      </c>
      <c r="D38" s="15">
        <v>1</v>
      </c>
      <c r="E38" s="13">
        <v>19</v>
      </c>
      <c r="F38" s="13">
        <v>0</v>
      </c>
      <c r="G38" s="15"/>
      <c r="H38" s="13">
        <v>120</v>
      </c>
      <c r="I38" s="14">
        <f>H38/A38</f>
        <v>1.935483870967742</v>
      </c>
      <c r="J38" s="13">
        <v>0</v>
      </c>
      <c r="K38" s="15">
        <v>1.17</v>
      </c>
      <c r="L38" s="13">
        <v>39</v>
      </c>
      <c r="M38" s="13">
        <v>2</v>
      </c>
      <c r="N38" s="16"/>
      <c r="O38" s="14"/>
      <c r="P38" s="14"/>
      <c r="Q38" s="17">
        <f>IF(F38&lt;2,IF(M38&lt;2,0,1),1)</f>
        <v>1</v>
      </c>
      <c r="R38" s="18">
        <f>K38-D38</f>
        <v>0.16999999999999993</v>
      </c>
      <c r="S38" s="17">
        <f>IF(R38&gt;0.09,1,0)</f>
        <v>1</v>
      </c>
      <c r="T38" s="17">
        <v>0</v>
      </c>
      <c r="U38" s="17">
        <v>0</v>
      </c>
      <c r="V38" s="17">
        <f>SUM(J38,Q38,S38,T38,U38)</f>
        <v>2</v>
      </c>
      <c r="W38" s="17">
        <v>3</v>
      </c>
      <c r="X38" s="17">
        <v>4</v>
      </c>
      <c r="Y38" s="12">
        <v>0</v>
      </c>
    </row>
    <row r="39" spans="1:25" s="19" customFormat="1" ht="14.25" customHeight="1" x14ac:dyDescent="0.2">
      <c r="A39" s="13">
        <v>63</v>
      </c>
      <c r="B39" s="13">
        <v>163</v>
      </c>
      <c r="C39" s="13">
        <v>99</v>
      </c>
      <c r="D39" s="15">
        <v>1</v>
      </c>
      <c r="E39" s="13">
        <v>41</v>
      </c>
      <c r="F39" s="13">
        <v>0</v>
      </c>
      <c r="G39" s="15">
        <v>19</v>
      </c>
      <c r="H39" s="13">
        <v>120</v>
      </c>
      <c r="I39" s="14">
        <f>H39/A39</f>
        <v>1.9047619047619047</v>
      </c>
      <c r="J39" s="13">
        <v>0</v>
      </c>
      <c r="K39" s="15">
        <v>1.17</v>
      </c>
      <c r="L39" s="13">
        <v>30</v>
      </c>
      <c r="M39" s="13">
        <v>1</v>
      </c>
      <c r="N39" s="16"/>
      <c r="O39" s="14"/>
      <c r="P39" s="14"/>
      <c r="Q39" s="17">
        <f>IF(F39&lt;2,IF(M39&lt;2,0,1),1)</f>
        <v>0</v>
      </c>
      <c r="R39" s="18">
        <f>K39-D39</f>
        <v>0.16999999999999993</v>
      </c>
      <c r="S39" s="17">
        <f>IF(R39&gt;0.09,1,0)</f>
        <v>1</v>
      </c>
      <c r="T39" s="17">
        <v>1</v>
      </c>
      <c r="U39" s="17">
        <v>1</v>
      </c>
      <c r="V39" s="17">
        <f>SUM(J39,Q39,S39,T39,U39)</f>
        <v>3</v>
      </c>
      <c r="W39" s="17">
        <v>4</v>
      </c>
      <c r="X39" s="17">
        <v>4</v>
      </c>
      <c r="Y39" s="12">
        <v>0</v>
      </c>
    </row>
    <row r="40" spans="1:25" s="19" customFormat="1" ht="14.25" customHeight="1" x14ac:dyDescent="0.2">
      <c r="A40" s="13">
        <v>51</v>
      </c>
      <c r="B40" s="13">
        <v>134</v>
      </c>
      <c r="C40" s="13">
        <v>84</v>
      </c>
      <c r="D40" s="15">
        <v>1</v>
      </c>
      <c r="E40" s="13">
        <v>29</v>
      </c>
      <c r="F40" s="13">
        <v>0</v>
      </c>
      <c r="G40" s="15"/>
      <c r="H40" s="13">
        <v>80</v>
      </c>
      <c r="I40" s="14">
        <f>H40/A40</f>
        <v>1.5686274509803921</v>
      </c>
      <c r="J40" s="13">
        <v>0</v>
      </c>
      <c r="K40" s="15">
        <v>1</v>
      </c>
      <c r="L40" s="13">
        <v>70</v>
      </c>
      <c r="M40" s="13">
        <v>0</v>
      </c>
      <c r="N40" s="16"/>
      <c r="O40" s="14"/>
      <c r="P40" s="14"/>
      <c r="Q40" s="17">
        <f>IF(F40&lt;2,IF(M40&lt;2,0,1),1)</f>
        <v>0</v>
      </c>
      <c r="R40" s="18">
        <f>K40-D40</f>
        <v>0</v>
      </c>
      <c r="S40" s="17">
        <f>IF(R40&gt;0.09,1,0)</f>
        <v>0</v>
      </c>
      <c r="T40" s="17">
        <v>1</v>
      </c>
      <c r="U40" s="17">
        <v>0</v>
      </c>
      <c r="V40" s="17">
        <f>SUM(J40,Q40,S40,T40,U40)</f>
        <v>1</v>
      </c>
      <c r="W40" s="17">
        <v>1</v>
      </c>
      <c r="X40" s="17">
        <v>1</v>
      </c>
      <c r="Y40" s="12">
        <v>0</v>
      </c>
    </row>
    <row r="41" spans="1:25" s="19" customFormat="1" ht="14.25" customHeight="1" x14ac:dyDescent="0.2">
      <c r="A41" s="13">
        <v>57</v>
      </c>
      <c r="B41" s="13">
        <v>151</v>
      </c>
      <c r="C41" s="13">
        <v>82</v>
      </c>
      <c r="D41" s="15">
        <v>1</v>
      </c>
      <c r="E41" s="13">
        <v>16</v>
      </c>
      <c r="F41" s="13">
        <v>0</v>
      </c>
      <c r="G41" s="15"/>
      <c r="H41" s="13">
        <v>160</v>
      </c>
      <c r="I41" s="14">
        <f>H41/A41</f>
        <v>2.807017543859649</v>
      </c>
      <c r="J41" s="13">
        <v>0</v>
      </c>
      <c r="K41" s="15">
        <v>1</v>
      </c>
      <c r="L41" s="13">
        <v>44</v>
      </c>
      <c r="M41" s="13">
        <v>0</v>
      </c>
      <c r="N41" s="16"/>
      <c r="O41" s="14"/>
      <c r="P41" s="14"/>
      <c r="Q41" s="17">
        <f>IF(F41&lt;2,IF(M41&lt;2,0,1),1)</f>
        <v>0</v>
      </c>
      <c r="R41" s="18">
        <f>K41-D41</f>
        <v>0</v>
      </c>
      <c r="S41" s="17">
        <f>IF(R41&gt;0.09,1,0)</f>
        <v>0</v>
      </c>
      <c r="T41" s="17">
        <v>0</v>
      </c>
      <c r="U41" s="17">
        <v>0</v>
      </c>
      <c r="V41" s="17">
        <f>SUM(J41,Q41,S41,T41,U41)</f>
        <v>0</v>
      </c>
      <c r="W41" s="17">
        <v>0</v>
      </c>
      <c r="X41" s="17">
        <v>1</v>
      </c>
      <c r="Y41" s="12">
        <v>0</v>
      </c>
    </row>
    <row r="42" spans="1:25" s="19" customFormat="1" ht="14.25" customHeight="1" x14ac:dyDescent="0.2">
      <c r="A42" s="13">
        <v>60</v>
      </c>
      <c r="B42" s="13">
        <v>162</v>
      </c>
      <c r="C42" s="13">
        <v>79</v>
      </c>
      <c r="D42" s="15">
        <v>1</v>
      </c>
      <c r="E42" s="13">
        <v>51</v>
      </c>
      <c r="F42" s="13">
        <v>0</v>
      </c>
      <c r="G42" s="15">
        <v>20.5</v>
      </c>
      <c r="H42" s="13">
        <v>120</v>
      </c>
      <c r="I42" s="14">
        <f>H42/A42</f>
        <v>2</v>
      </c>
      <c r="J42" s="13">
        <v>0</v>
      </c>
      <c r="K42" s="15">
        <v>1.17</v>
      </c>
      <c r="L42" s="13">
        <v>83</v>
      </c>
      <c r="M42" s="13">
        <v>3</v>
      </c>
      <c r="N42" s="16">
        <v>13.2</v>
      </c>
      <c r="O42" s="14">
        <f>N42/G42</f>
        <v>0.64390243902439026</v>
      </c>
      <c r="P42" s="14">
        <f>N42-G42</f>
        <v>-7.3000000000000007</v>
      </c>
      <c r="Q42" s="17">
        <f>IF(F42&lt;2,IF(M42&lt;2,0,1),1)</f>
        <v>1</v>
      </c>
      <c r="R42" s="18">
        <f>K42-D42</f>
        <v>0.16999999999999993</v>
      </c>
      <c r="S42" s="17">
        <f>IF(R42&gt;0.09,1,0)</f>
        <v>1</v>
      </c>
      <c r="T42" s="17">
        <v>1</v>
      </c>
      <c r="U42" s="17">
        <v>1</v>
      </c>
      <c r="V42" s="17">
        <f>SUM(J42,Q42,S42,T42,U42)</f>
        <v>4</v>
      </c>
      <c r="W42" s="17">
        <v>5</v>
      </c>
      <c r="X42" s="17">
        <v>6</v>
      </c>
      <c r="Y42" s="12">
        <v>1</v>
      </c>
    </row>
    <row r="43" spans="1:25" s="19" customFormat="1" ht="14.25" customHeight="1" x14ac:dyDescent="0.2">
      <c r="A43" s="13">
        <v>83</v>
      </c>
      <c r="B43" s="13">
        <v>141</v>
      </c>
      <c r="C43" s="13">
        <v>83</v>
      </c>
      <c r="D43" s="15">
        <v>1</v>
      </c>
      <c r="E43" s="13">
        <v>22</v>
      </c>
      <c r="F43" s="13">
        <v>0</v>
      </c>
      <c r="G43" s="15"/>
      <c r="H43" s="13">
        <v>140</v>
      </c>
      <c r="I43" s="14">
        <f>H43/A43</f>
        <v>1.6867469879518073</v>
      </c>
      <c r="J43" s="13">
        <v>0</v>
      </c>
      <c r="K43" s="15">
        <v>1</v>
      </c>
      <c r="L43" s="13">
        <v>43</v>
      </c>
      <c r="M43" s="13">
        <v>0</v>
      </c>
      <c r="N43" s="16"/>
      <c r="O43" s="14"/>
      <c r="P43" s="14"/>
      <c r="Q43" s="17">
        <f>IF(F43&lt;2,IF(M43&lt;2,0,1),1)</f>
        <v>0</v>
      </c>
      <c r="R43" s="18">
        <f>K43-D43</f>
        <v>0</v>
      </c>
      <c r="S43" s="17">
        <f>IF(R43&gt;0.09,1,0)</f>
        <v>0</v>
      </c>
      <c r="T43" s="17">
        <v>0</v>
      </c>
      <c r="U43" s="17">
        <v>1</v>
      </c>
      <c r="V43" s="17">
        <f>SUM(J43,Q43,S43,T43,U43)</f>
        <v>1</v>
      </c>
      <c r="W43" s="17">
        <v>1</v>
      </c>
      <c r="X43" s="17">
        <v>1</v>
      </c>
      <c r="Y43" s="12">
        <v>0</v>
      </c>
    </row>
    <row r="44" spans="1:25" s="19" customFormat="1" ht="14.25" customHeight="1" x14ac:dyDescent="0.2">
      <c r="A44" s="13">
        <v>96</v>
      </c>
      <c r="B44" s="13">
        <v>143</v>
      </c>
      <c r="C44" s="13">
        <v>86</v>
      </c>
      <c r="D44" s="15">
        <v>1</v>
      </c>
      <c r="E44" s="13">
        <v>42</v>
      </c>
      <c r="F44" s="13">
        <v>0</v>
      </c>
      <c r="G44" s="15">
        <v>18</v>
      </c>
      <c r="H44" s="13">
        <v>140</v>
      </c>
      <c r="I44" s="14">
        <f>H44/A44</f>
        <v>1.4583333333333333</v>
      </c>
      <c r="J44" s="13">
        <v>0</v>
      </c>
      <c r="K44" s="15">
        <v>1</v>
      </c>
      <c r="L44" s="13">
        <v>48</v>
      </c>
      <c r="M44" s="13">
        <v>1</v>
      </c>
      <c r="N44" s="16">
        <v>18.3</v>
      </c>
      <c r="O44" s="14">
        <f>N44/G44</f>
        <v>1.0166666666666666</v>
      </c>
      <c r="P44" s="14">
        <f>N44-G44</f>
        <v>0.30000000000000071</v>
      </c>
      <c r="Q44" s="17">
        <f>IF(F44&lt;2,IF(M44&lt;2,0,1),1)</f>
        <v>0</v>
      </c>
      <c r="R44" s="18">
        <f>K44-D44</f>
        <v>0</v>
      </c>
      <c r="S44" s="17">
        <f>IF(R44&gt;0.09,1,0)</f>
        <v>0</v>
      </c>
      <c r="T44" s="17">
        <v>1</v>
      </c>
      <c r="U44" s="17">
        <v>1</v>
      </c>
      <c r="V44" s="17">
        <f>SUM(J44,Q44,S44,T44,U44)</f>
        <v>2</v>
      </c>
      <c r="W44" s="17">
        <v>2</v>
      </c>
      <c r="X44" s="17">
        <v>2</v>
      </c>
      <c r="Y44" s="12">
        <v>0</v>
      </c>
    </row>
    <row r="45" spans="1:25" s="19" customFormat="1" ht="14.25" customHeight="1" x14ac:dyDescent="0.2">
      <c r="A45" s="13">
        <v>59</v>
      </c>
      <c r="B45" s="13">
        <v>120</v>
      </c>
      <c r="C45" s="13">
        <v>74</v>
      </c>
      <c r="D45" s="15">
        <v>1</v>
      </c>
      <c r="E45" s="13">
        <v>22</v>
      </c>
      <c r="F45" s="13">
        <v>0</v>
      </c>
      <c r="G45" s="15"/>
      <c r="H45" s="13">
        <v>140</v>
      </c>
      <c r="I45" s="14">
        <f>H45/A45</f>
        <v>2.3728813559322033</v>
      </c>
      <c r="J45" s="13">
        <v>0</v>
      </c>
      <c r="K45" s="15">
        <v>1</v>
      </c>
      <c r="L45" s="13">
        <v>116</v>
      </c>
      <c r="M45" s="13">
        <v>0</v>
      </c>
      <c r="N45" s="16"/>
      <c r="O45" s="14"/>
      <c r="P45" s="14"/>
      <c r="Q45" s="17">
        <f>IF(F45&lt;2,IF(M45&lt;2,0,1),1)</f>
        <v>0</v>
      </c>
      <c r="R45" s="18">
        <f>K45-D45</f>
        <v>0</v>
      </c>
      <c r="S45" s="17">
        <f>IF(R45&gt;0.09,1,0)</f>
        <v>0</v>
      </c>
      <c r="T45" s="17">
        <v>0</v>
      </c>
      <c r="U45" s="17">
        <v>0</v>
      </c>
      <c r="V45" s="17">
        <f>SUM(J45,Q45,S45,T45,U45)</f>
        <v>0</v>
      </c>
      <c r="W45" s="17">
        <v>0</v>
      </c>
      <c r="X45" s="17">
        <v>0</v>
      </c>
      <c r="Y45" s="12">
        <v>0</v>
      </c>
    </row>
    <row r="46" spans="1:25" s="19" customFormat="1" ht="14.25" customHeight="1" x14ac:dyDescent="0.2">
      <c r="A46" s="13">
        <v>66</v>
      </c>
      <c r="B46" s="13">
        <v>146</v>
      </c>
      <c r="C46" s="13">
        <v>66</v>
      </c>
      <c r="D46" s="15">
        <v>1</v>
      </c>
      <c r="E46" s="13">
        <v>20</v>
      </c>
      <c r="F46" s="13">
        <v>0</v>
      </c>
      <c r="G46" s="15"/>
      <c r="H46" s="13">
        <v>83</v>
      </c>
      <c r="I46" s="14">
        <f>H46/A46</f>
        <v>1.2575757575757576</v>
      </c>
      <c r="J46" s="13">
        <v>0</v>
      </c>
      <c r="K46" s="15">
        <v>1</v>
      </c>
      <c r="L46" s="13">
        <v>41</v>
      </c>
      <c r="M46" s="13">
        <v>0</v>
      </c>
      <c r="N46" s="16"/>
      <c r="O46" s="14"/>
      <c r="P46" s="14"/>
      <c r="Q46" s="17">
        <f>IF(F46&lt;2,IF(M46&lt;2,0,1),1)</f>
        <v>0</v>
      </c>
      <c r="R46" s="18">
        <f>K46-D46</f>
        <v>0</v>
      </c>
      <c r="S46" s="17">
        <f>IF(R46&gt;0.09,1,0)</f>
        <v>0</v>
      </c>
      <c r="T46" s="17">
        <v>1</v>
      </c>
      <c r="U46" s="17">
        <v>0</v>
      </c>
      <c r="V46" s="17">
        <f>SUM(J46,Q46,S46,T46,U46)</f>
        <v>1</v>
      </c>
      <c r="W46" s="17">
        <v>1</v>
      </c>
      <c r="X46" s="17">
        <v>1</v>
      </c>
      <c r="Y46" s="12">
        <v>0</v>
      </c>
    </row>
    <row r="47" spans="1:25" s="19" customFormat="1" ht="14.25" customHeight="1" x14ac:dyDescent="0.2">
      <c r="A47" s="13">
        <v>56</v>
      </c>
      <c r="B47" s="13">
        <v>181</v>
      </c>
      <c r="C47" s="13">
        <v>63</v>
      </c>
      <c r="D47" s="15">
        <v>1</v>
      </c>
      <c r="E47" s="13">
        <v>17</v>
      </c>
      <c r="F47" s="13">
        <v>2</v>
      </c>
      <c r="G47" s="15"/>
      <c r="H47" s="13">
        <v>65</v>
      </c>
      <c r="I47" s="14">
        <f>H47/A47</f>
        <v>1.1607142857142858</v>
      </c>
      <c r="J47" s="13">
        <v>1</v>
      </c>
      <c r="K47" s="15">
        <v>1</v>
      </c>
      <c r="L47" s="13">
        <v>51</v>
      </c>
      <c r="M47" s="13">
        <v>5</v>
      </c>
      <c r="N47" s="16"/>
      <c r="O47" s="14"/>
      <c r="P47" s="14"/>
      <c r="Q47" s="17">
        <f>IF(F47&lt;2,IF(M47&lt;2,0,1),1)</f>
        <v>1</v>
      </c>
      <c r="R47" s="18">
        <f>K47-D47</f>
        <v>0</v>
      </c>
      <c r="S47" s="17">
        <f>IF(R47&gt;0.09,1,0)</f>
        <v>0</v>
      </c>
      <c r="T47" s="17">
        <v>0</v>
      </c>
      <c r="U47" s="17">
        <v>0</v>
      </c>
      <c r="V47" s="17">
        <f>SUM(J47,Q47,S47,T47,U47)</f>
        <v>2</v>
      </c>
      <c r="W47" s="17">
        <v>3</v>
      </c>
      <c r="X47" s="17">
        <v>3</v>
      </c>
      <c r="Y47" s="12">
        <v>0</v>
      </c>
    </row>
    <row r="48" spans="1:25" s="19" customFormat="1" ht="14.25" customHeight="1" x14ac:dyDescent="0.2">
      <c r="A48" s="13">
        <v>72</v>
      </c>
      <c r="B48" s="13">
        <v>166</v>
      </c>
      <c r="C48" s="13">
        <v>77</v>
      </c>
      <c r="D48" s="15">
        <v>1</v>
      </c>
      <c r="E48" s="13">
        <v>19</v>
      </c>
      <c r="F48" s="13">
        <v>0</v>
      </c>
      <c r="G48" s="15">
        <v>16</v>
      </c>
      <c r="H48" s="13">
        <v>78</v>
      </c>
      <c r="I48" s="14">
        <f>H48/A48</f>
        <v>1.0833333333333333</v>
      </c>
      <c r="J48" s="13">
        <v>1</v>
      </c>
      <c r="K48" s="15">
        <v>1.17</v>
      </c>
      <c r="L48" s="13">
        <v>55</v>
      </c>
      <c r="M48" s="13">
        <v>0</v>
      </c>
      <c r="N48" s="16">
        <v>13.1</v>
      </c>
      <c r="O48" s="14">
        <f>N48/G48</f>
        <v>0.81874999999999998</v>
      </c>
      <c r="P48" s="14">
        <f>N48-G48</f>
        <v>-2.9000000000000004</v>
      </c>
      <c r="Q48" s="17">
        <f>IF(F48&lt;2,IF(M48&lt;2,0,1),1)</f>
        <v>0</v>
      </c>
      <c r="R48" s="18">
        <f>K48-D48</f>
        <v>0.16999999999999993</v>
      </c>
      <c r="S48" s="17">
        <f>IF(R48&gt;0.09,1,0)</f>
        <v>1</v>
      </c>
      <c r="T48" s="17">
        <v>1</v>
      </c>
      <c r="U48" s="17">
        <v>0</v>
      </c>
      <c r="V48" s="17">
        <f>SUM(J48,Q48,S48,T48,U48)</f>
        <v>3</v>
      </c>
      <c r="W48" s="17">
        <v>3</v>
      </c>
      <c r="X48" s="17">
        <v>3</v>
      </c>
      <c r="Y48" s="12">
        <v>1</v>
      </c>
    </row>
    <row r="49" spans="1:25" s="19" customFormat="1" ht="14.25" customHeight="1" x14ac:dyDescent="0.2">
      <c r="A49" s="13">
        <v>58</v>
      </c>
      <c r="B49" s="13">
        <v>155</v>
      </c>
      <c r="C49" s="13">
        <v>86</v>
      </c>
      <c r="D49" s="15">
        <v>1</v>
      </c>
      <c r="E49" s="13">
        <v>26</v>
      </c>
      <c r="F49" s="13">
        <v>0</v>
      </c>
      <c r="G49" s="15"/>
      <c r="H49" s="13">
        <v>91</v>
      </c>
      <c r="I49" s="14">
        <f>H49/A49</f>
        <v>1.5689655172413792</v>
      </c>
      <c r="J49" s="13">
        <v>0</v>
      </c>
      <c r="K49" s="15">
        <v>1</v>
      </c>
      <c r="L49" s="13">
        <v>69</v>
      </c>
      <c r="M49" s="13">
        <v>0</v>
      </c>
      <c r="N49" s="16"/>
      <c r="O49" s="14"/>
      <c r="P49" s="14"/>
      <c r="Q49" s="17">
        <f>IF(F49&lt;2,IF(M49&lt;2,0,1),1)</f>
        <v>0</v>
      </c>
      <c r="R49" s="18">
        <f>K49-D49</f>
        <v>0</v>
      </c>
      <c r="S49" s="17">
        <f>IF(R49&gt;0.09,1,0)</f>
        <v>0</v>
      </c>
      <c r="T49" s="17">
        <v>1</v>
      </c>
      <c r="U49" s="17">
        <v>0</v>
      </c>
      <c r="V49" s="17">
        <f>SUM(J49,Q49,S49,T49,U49)</f>
        <v>1</v>
      </c>
      <c r="W49" s="17">
        <v>1</v>
      </c>
      <c r="X49" s="17">
        <v>1</v>
      </c>
      <c r="Y49" s="12">
        <v>0</v>
      </c>
    </row>
    <row r="50" spans="1:25" s="19" customFormat="1" ht="14.25" customHeight="1" x14ac:dyDescent="0.2">
      <c r="A50" s="13">
        <v>63</v>
      </c>
      <c r="B50" s="13">
        <v>124</v>
      </c>
      <c r="C50" s="13">
        <v>80</v>
      </c>
      <c r="D50" s="15">
        <v>1</v>
      </c>
      <c r="E50" s="13">
        <v>11</v>
      </c>
      <c r="F50" s="13">
        <v>0</v>
      </c>
      <c r="G50" s="15">
        <v>17.2</v>
      </c>
      <c r="H50" s="13">
        <v>91</v>
      </c>
      <c r="I50" s="14">
        <f>H50/A50</f>
        <v>1.4444444444444444</v>
      </c>
      <c r="J50" s="13">
        <v>0</v>
      </c>
      <c r="K50" s="15">
        <v>1</v>
      </c>
      <c r="L50" s="13">
        <v>59</v>
      </c>
      <c r="M50" s="13">
        <v>0</v>
      </c>
      <c r="N50" s="16">
        <v>23.3</v>
      </c>
      <c r="O50" s="14">
        <f>N50/G50</f>
        <v>1.3546511627906979</v>
      </c>
      <c r="P50" s="14">
        <f>N50-G50</f>
        <v>6.1000000000000014</v>
      </c>
      <c r="Q50" s="17">
        <f>IF(F50&lt;2,IF(M50&lt;2,0,1),1)</f>
        <v>0</v>
      </c>
      <c r="R50" s="18">
        <f>K50-D50</f>
        <v>0</v>
      </c>
      <c r="S50" s="17">
        <f>IF(R50&gt;0.09,1,0)</f>
        <v>0</v>
      </c>
      <c r="T50" s="17">
        <v>1</v>
      </c>
      <c r="U50" s="17">
        <v>0</v>
      </c>
      <c r="V50" s="17">
        <f>SUM(J50,Q50,S50,T50,U50)</f>
        <v>1</v>
      </c>
      <c r="W50" s="17">
        <v>1</v>
      </c>
      <c r="X50" s="17">
        <v>1</v>
      </c>
      <c r="Y50" s="12">
        <v>0</v>
      </c>
    </row>
    <row r="51" spans="1:25" s="19" customFormat="1" ht="14.25" customHeight="1" x14ac:dyDescent="0.2">
      <c r="A51" s="13">
        <v>55</v>
      </c>
      <c r="B51" s="13">
        <v>132</v>
      </c>
      <c r="C51" s="13">
        <v>57</v>
      </c>
      <c r="D51" s="15">
        <v>1.17</v>
      </c>
      <c r="E51" s="13">
        <v>18</v>
      </c>
      <c r="F51" s="13">
        <v>1</v>
      </c>
      <c r="G51" s="15"/>
      <c r="H51" s="13">
        <v>76</v>
      </c>
      <c r="I51" s="14">
        <f>H51/A51</f>
        <v>1.3818181818181818</v>
      </c>
      <c r="J51" s="13">
        <v>0</v>
      </c>
      <c r="K51" s="15">
        <v>1.29</v>
      </c>
      <c r="L51" s="13">
        <v>55</v>
      </c>
      <c r="M51" s="13">
        <v>3</v>
      </c>
      <c r="N51" s="16"/>
      <c r="O51" s="14"/>
      <c r="P51" s="14"/>
      <c r="Q51" s="17">
        <f>IF(F51&lt;2,IF(M51&lt;2,0,1),1)</f>
        <v>1</v>
      </c>
      <c r="R51" s="18">
        <f>K51-D51</f>
        <v>0.12000000000000011</v>
      </c>
      <c r="S51" s="17">
        <f>IF(R51&gt;0.09,1,0)</f>
        <v>1</v>
      </c>
      <c r="T51" s="17">
        <v>1</v>
      </c>
      <c r="U51" s="17">
        <v>0</v>
      </c>
      <c r="V51" s="17">
        <f>SUM(J51,Q51,S51,T51,U51)</f>
        <v>3</v>
      </c>
      <c r="W51" s="17">
        <v>3</v>
      </c>
      <c r="X51" s="17">
        <v>3</v>
      </c>
      <c r="Y51" s="12">
        <v>1</v>
      </c>
    </row>
    <row r="52" spans="1:25" s="19" customFormat="1" ht="14.25" customHeight="1" x14ac:dyDescent="0.2">
      <c r="A52" s="13">
        <v>59</v>
      </c>
      <c r="B52" s="13">
        <v>97</v>
      </c>
      <c r="C52" s="13">
        <v>55</v>
      </c>
      <c r="D52" s="15">
        <v>1</v>
      </c>
      <c r="E52" s="13">
        <v>21</v>
      </c>
      <c r="F52" s="13">
        <v>0</v>
      </c>
      <c r="G52" s="15"/>
      <c r="H52" s="13">
        <v>77</v>
      </c>
      <c r="I52" s="14">
        <f>H52/A52</f>
        <v>1.3050847457627119</v>
      </c>
      <c r="J52" s="13">
        <v>0</v>
      </c>
      <c r="K52" s="15">
        <v>1</v>
      </c>
      <c r="L52" s="13">
        <v>66</v>
      </c>
      <c r="M52" s="13">
        <v>0</v>
      </c>
      <c r="N52" s="16"/>
      <c r="O52" s="14"/>
      <c r="P52" s="14"/>
      <c r="Q52" s="17">
        <f>IF(F52&lt;2,IF(M52&lt;2,0,1),1)</f>
        <v>0</v>
      </c>
      <c r="R52" s="18">
        <f>K52-D52</f>
        <v>0</v>
      </c>
      <c r="S52" s="17">
        <f>IF(R52&gt;0.09,1,0)</f>
        <v>0</v>
      </c>
      <c r="T52" s="17">
        <v>1</v>
      </c>
      <c r="U52" s="17">
        <v>0</v>
      </c>
      <c r="V52" s="17">
        <f>SUM(J52,Q52,S52,T52,U52)</f>
        <v>1</v>
      </c>
      <c r="W52" s="17">
        <v>1</v>
      </c>
      <c r="X52" s="17">
        <v>1</v>
      </c>
      <c r="Y52" s="12">
        <v>0</v>
      </c>
    </row>
    <row r="53" spans="1:25" s="19" customFormat="1" ht="14.25" customHeight="1" x14ac:dyDescent="0.2">
      <c r="A53" s="13">
        <v>59</v>
      </c>
      <c r="B53" s="13">
        <v>113</v>
      </c>
      <c r="C53" s="13">
        <v>50</v>
      </c>
      <c r="D53" s="15">
        <v>1</v>
      </c>
      <c r="E53" s="13">
        <v>26</v>
      </c>
      <c r="F53" s="13">
        <v>0</v>
      </c>
      <c r="G53" s="15"/>
      <c r="H53" s="13">
        <v>78</v>
      </c>
      <c r="I53" s="14">
        <f>H53/A53</f>
        <v>1.3220338983050848</v>
      </c>
      <c r="J53" s="13">
        <v>0</v>
      </c>
      <c r="K53" s="15">
        <v>1.17</v>
      </c>
      <c r="L53" s="13">
        <v>43</v>
      </c>
      <c r="M53" s="13">
        <v>1</v>
      </c>
      <c r="N53" s="16"/>
      <c r="O53" s="14"/>
      <c r="P53" s="14"/>
      <c r="Q53" s="17">
        <f>IF(F53&lt;2,IF(M53&lt;2,0,1),1)</f>
        <v>0</v>
      </c>
      <c r="R53" s="18">
        <f>K53-D53</f>
        <v>0.16999999999999993</v>
      </c>
      <c r="S53" s="17">
        <f>IF(R53&gt;0.09,1,0)</f>
        <v>1</v>
      </c>
      <c r="T53" s="17">
        <v>0</v>
      </c>
      <c r="U53" s="17">
        <v>1</v>
      </c>
      <c r="V53" s="17">
        <f>SUM(J53,Q53,S53,T53,U53)</f>
        <v>2</v>
      </c>
      <c r="W53" s="17">
        <v>3</v>
      </c>
      <c r="X53" s="17">
        <v>3</v>
      </c>
      <c r="Y53" s="12">
        <v>1</v>
      </c>
    </row>
    <row r="54" spans="1:25" s="19" customFormat="1" ht="14.25" customHeight="1" x14ac:dyDescent="0.2">
      <c r="A54" s="13">
        <v>63</v>
      </c>
      <c r="B54" s="13">
        <v>130</v>
      </c>
      <c r="C54" s="13">
        <v>75</v>
      </c>
      <c r="D54" s="15">
        <v>1.1100000000000001</v>
      </c>
      <c r="E54" s="13">
        <v>23</v>
      </c>
      <c r="F54" s="13">
        <v>0</v>
      </c>
      <c r="G54" s="15"/>
      <c r="H54" s="13">
        <v>91</v>
      </c>
      <c r="I54" s="14">
        <f>H54/A54</f>
        <v>1.4444444444444444</v>
      </c>
      <c r="J54" s="13">
        <v>0</v>
      </c>
      <c r="K54" s="15">
        <v>1.1100000000000001</v>
      </c>
      <c r="L54" s="13">
        <v>47</v>
      </c>
      <c r="M54" s="13">
        <v>1</v>
      </c>
      <c r="N54" s="16"/>
      <c r="O54" s="14"/>
      <c r="P54" s="14"/>
      <c r="Q54" s="17">
        <f>IF(F54&lt;2,IF(M54&lt;2,0,1),1)</f>
        <v>0</v>
      </c>
      <c r="R54" s="18">
        <f>K54-D54</f>
        <v>0</v>
      </c>
      <c r="S54" s="17">
        <f>IF(R54&gt;0.09,1,0)</f>
        <v>0</v>
      </c>
      <c r="T54" s="17">
        <v>1</v>
      </c>
      <c r="U54" s="17">
        <v>0</v>
      </c>
      <c r="V54" s="17">
        <f>SUM(J54,Q54,S54,T54,U54)</f>
        <v>1</v>
      </c>
      <c r="W54" s="17">
        <v>1</v>
      </c>
      <c r="X54" s="17">
        <v>1</v>
      </c>
      <c r="Y54" s="12">
        <v>0</v>
      </c>
    </row>
    <row r="55" spans="1:25" s="19" customFormat="1" ht="14.25" customHeight="1" x14ac:dyDescent="0.2">
      <c r="A55" s="13">
        <v>59</v>
      </c>
      <c r="B55" s="13">
        <v>149</v>
      </c>
      <c r="C55" s="13">
        <v>65</v>
      </c>
      <c r="D55" s="15">
        <v>1.5</v>
      </c>
      <c r="E55" s="13">
        <v>18</v>
      </c>
      <c r="F55" s="13">
        <v>1</v>
      </c>
      <c r="G55" s="15">
        <v>12.7</v>
      </c>
      <c r="H55" s="13">
        <v>86</v>
      </c>
      <c r="I55" s="14">
        <f>H55/A55</f>
        <v>1.4576271186440677</v>
      </c>
      <c r="J55" s="13">
        <v>0</v>
      </c>
      <c r="K55" s="15">
        <v>1.38</v>
      </c>
      <c r="L55" s="13">
        <v>65</v>
      </c>
      <c r="M55" s="13">
        <v>3</v>
      </c>
      <c r="N55" s="16">
        <v>15.6</v>
      </c>
      <c r="O55" s="14">
        <f>N55/G55</f>
        <v>1.2283464566929134</v>
      </c>
      <c r="P55" s="14">
        <f>N55-G55</f>
        <v>2.9000000000000004</v>
      </c>
      <c r="Q55" s="17">
        <f>IF(F55&lt;2,IF(M55&lt;2,0,1),1)</f>
        <v>1</v>
      </c>
      <c r="R55" s="18">
        <f>K55-D55</f>
        <v>-0.12000000000000011</v>
      </c>
      <c r="S55" s="17">
        <f>IF(R55&gt;0.09,1,0)</f>
        <v>0</v>
      </c>
      <c r="T55" s="17">
        <v>0</v>
      </c>
      <c r="U55" s="17">
        <v>0</v>
      </c>
      <c r="V55" s="17">
        <f>SUM(J55,Q55,S55,T55,U55)</f>
        <v>1</v>
      </c>
      <c r="W55" s="17">
        <v>1</v>
      </c>
      <c r="X55" s="17">
        <v>1</v>
      </c>
      <c r="Y55" s="12">
        <v>0</v>
      </c>
    </row>
    <row r="56" spans="1:25" s="19" customFormat="1" ht="14.25" customHeight="1" x14ac:dyDescent="0.2">
      <c r="A56" s="13">
        <v>63</v>
      </c>
      <c r="B56" s="13">
        <v>134</v>
      </c>
      <c r="C56" s="13">
        <v>70</v>
      </c>
      <c r="D56" s="15">
        <v>1</v>
      </c>
      <c r="E56" s="13">
        <v>23</v>
      </c>
      <c r="F56" s="13">
        <v>0</v>
      </c>
      <c r="G56" s="15"/>
      <c r="H56" s="13">
        <v>93</v>
      </c>
      <c r="I56" s="14">
        <f>H56/A56</f>
        <v>1.4761904761904763</v>
      </c>
      <c r="J56" s="13">
        <v>0</v>
      </c>
      <c r="K56" s="15">
        <v>1</v>
      </c>
      <c r="L56" s="13">
        <v>46</v>
      </c>
      <c r="M56" s="13">
        <v>0</v>
      </c>
      <c r="N56" s="16"/>
      <c r="O56" s="14"/>
      <c r="P56" s="14"/>
      <c r="Q56" s="17">
        <f>IF(F56&lt;2,IF(M56&lt;2,0,1),1)</f>
        <v>0</v>
      </c>
      <c r="R56" s="18">
        <f>K56-D56</f>
        <v>0</v>
      </c>
      <c r="S56" s="17">
        <f>IF(R56&gt;0.09,1,0)</f>
        <v>0</v>
      </c>
      <c r="T56" s="17">
        <v>0</v>
      </c>
      <c r="U56" s="17">
        <v>1</v>
      </c>
      <c r="V56" s="17">
        <f>SUM(J56,Q56,S56,T56,U56)</f>
        <v>1</v>
      </c>
      <c r="W56" s="17">
        <v>1</v>
      </c>
      <c r="X56" s="17">
        <v>1</v>
      </c>
      <c r="Y56" s="12">
        <v>0</v>
      </c>
    </row>
    <row r="57" spans="1:25" s="19" customFormat="1" ht="14.25" customHeight="1" x14ac:dyDescent="0.2">
      <c r="A57" s="13">
        <v>58</v>
      </c>
      <c r="B57" s="13">
        <v>130</v>
      </c>
      <c r="C57" s="13">
        <v>67</v>
      </c>
      <c r="D57" s="15">
        <v>1</v>
      </c>
      <c r="E57" s="13">
        <v>21</v>
      </c>
      <c r="F57" s="13">
        <v>1</v>
      </c>
      <c r="G57" s="15"/>
      <c r="H57" s="13">
        <v>83</v>
      </c>
      <c r="I57" s="14">
        <f>H57/A57</f>
        <v>1.4310344827586208</v>
      </c>
      <c r="J57" s="13">
        <v>0</v>
      </c>
      <c r="K57" s="15">
        <v>1</v>
      </c>
      <c r="L57" s="13">
        <v>59</v>
      </c>
      <c r="M57" s="13">
        <v>0</v>
      </c>
      <c r="N57" s="16"/>
      <c r="O57" s="14"/>
      <c r="P57" s="14"/>
      <c r="Q57" s="17">
        <f>IF(F57&lt;2,IF(M57&lt;2,0,1),1)</f>
        <v>0</v>
      </c>
      <c r="R57" s="18">
        <f>K57-D57</f>
        <v>0</v>
      </c>
      <c r="S57" s="17">
        <f>IF(R57&gt;0.09,1,0)</f>
        <v>0</v>
      </c>
      <c r="T57" s="17">
        <v>1</v>
      </c>
      <c r="U57" s="17">
        <v>0</v>
      </c>
      <c r="V57" s="17">
        <f>SUM(J57,Q57,S57,T57,U57)</f>
        <v>1</v>
      </c>
      <c r="W57" s="17">
        <v>1</v>
      </c>
      <c r="X57" s="17">
        <v>1</v>
      </c>
      <c r="Y57" s="12">
        <v>0</v>
      </c>
    </row>
    <row r="58" spans="1:25" s="19" customFormat="1" ht="14.25" customHeight="1" x14ac:dyDescent="0.2">
      <c r="A58" s="13">
        <v>64</v>
      </c>
      <c r="B58" s="13">
        <v>143</v>
      </c>
      <c r="C58" s="13">
        <v>85</v>
      </c>
      <c r="D58" s="15">
        <v>1</v>
      </c>
      <c r="E58" s="13">
        <v>30</v>
      </c>
      <c r="F58" s="13">
        <v>0</v>
      </c>
      <c r="G58" s="15"/>
      <c r="H58" s="13">
        <v>86</v>
      </c>
      <c r="I58" s="14">
        <f>H58/A58</f>
        <v>1.34375</v>
      </c>
      <c r="J58" s="13">
        <v>0</v>
      </c>
      <c r="K58" s="15">
        <v>1.1200000000000001</v>
      </c>
      <c r="L58" s="13">
        <v>57</v>
      </c>
      <c r="M58" s="13">
        <v>1</v>
      </c>
      <c r="N58" s="16"/>
      <c r="O58" s="14"/>
      <c r="P58" s="14"/>
      <c r="Q58" s="17">
        <f>IF(F58&lt;2,IF(M58&lt;2,0,1),1)</f>
        <v>0</v>
      </c>
      <c r="R58" s="18">
        <f>K58-D58</f>
        <v>0.12000000000000011</v>
      </c>
      <c r="S58" s="17">
        <f>IF(R58&gt;0.09,1,0)</f>
        <v>1</v>
      </c>
      <c r="T58" s="17">
        <v>1</v>
      </c>
      <c r="U58" s="17">
        <v>1</v>
      </c>
      <c r="V58" s="17">
        <f>SUM(J58,Q58,S58,T58,U58)</f>
        <v>3</v>
      </c>
      <c r="W58" s="17">
        <v>3</v>
      </c>
      <c r="X58" s="17">
        <v>3</v>
      </c>
      <c r="Y58" s="12">
        <v>1</v>
      </c>
    </row>
    <row r="59" spans="1:25" s="19" customFormat="1" ht="14.25" customHeight="1" x14ac:dyDescent="0.2">
      <c r="A59" s="13">
        <v>66</v>
      </c>
      <c r="B59" s="13">
        <v>122</v>
      </c>
      <c r="C59" s="13">
        <v>68</v>
      </c>
      <c r="D59" s="15">
        <v>1</v>
      </c>
      <c r="E59" s="13">
        <v>35</v>
      </c>
      <c r="F59" s="13">
        <v>1</v>
      </c>
      <c r="G59" s="15"/>
      <c r="H59" s="13">
        <v>101</v>
      </c>
      <c r="I59" s="14">
        <f>H59/A59</f>
        <v>1.5303030303030303</v>
      </c>
      <c r="J59" s="13">
        <v>0</v>
      </c>
      <c r="K59" s="15">
        <v>1</v>
      </c>
      <c r="L59" s="13">
        <v>112</v>
      </c>
      <c r="M59" s="13">
        <v>2</v>
      </c>
      <c r="N59" s="16"/>
      <c r="O59" s="14"/>
      <c r="P59" s="14"/>
      <c r="Q59" s="17">
        <f>IF(F59&lt;2,IF(M59&lt;2,0,1),1)</f>
        <v>1</v>
      </c>
      <c r="R59" s="18">
        <f>K59-D59</f>
        <v>0</v>
      </c>
      <c r="S59" s="17">
        <f>IF(R59&gt;0.09,1,0)</f>
        <v>0</v>
      </c>
      <c r="T59" s="17">
        <v>0</v>
      </c>
      <c r="U59" s="17">
        <v>0</v>
      </c>
      <c r="V59" s="17">
        <f>SUM(J59,Q59,S59,T59,U59)</f>
        <v>1</v>
      </c>
      <c r="W59" s="17">
        <v>1</v>
      </c>
      <c r="X59" s="17">
        <v>1</v>
      </c>
      <c r="Y59" s="12">
        <v>1</v>
      </c>
    </row>
    <row r="60" spans="1:25" s="19" customFormat="1" ht="14.25" customHeight="1" x14ac:dyDescent="0.2">
      <c r="A60" s="13">
        <v>67</v>
      </c>
      <c r="B60" s="13">
        <v>136</v>
      </c>
      <c r="C60" s="13">
        <v>80</v>
      </c>
      <c r="D60" s="15">
        <v>1</v>
      </c>
      <c r="E60" s="13">
        <v>18</v>
      </c>
      <c r="F60" s="13">
        <v>0</v>
      </c>
      <c r="G60" s="15"/>
      <c r="H60" s="13">
        <v>88</v>
      </c>
      <c r="I60" s="14">
        <f>H60/A60</f>
        <v>1.3134328358208955</v>
      </c>
      <c r="J60" s="13">
        <v>0</v>
      </c>
      <c r="K60" s="15">
        <v>1</v>
      </c>
      <c r="L60" s="13">
        <v>76</v>
      </c>
      <c r="M60" s="13">
        <v>1</v>
      </c>
      <c r="N60" s="16"/>
      <c r="O60" s="14"/>
      <c r="P60" s="14"/>
      <c r="Q60" s="17">
        <f>IF(F60&lt;2,IF(M60&lt;2,0,1),1)</f>
        <v>0</v>
      </c>
      <c r="R60" s="18">
        <f>K60-D60</f>
        <v>0</v>
      </c>
      <c r="S60" s="17">
        <f>IF(R60&gt;0.09,1,0)</f>
        <v>0</v>
      </c>
      <c r="T60" s="17">
        <v>0</v>
      </c>
      <c r="U60" s="17">
        <v>0</v>
      </c>
      <c r="V60" s="17">
        <f>SUM(J60,Q60,S60,T60,U60)</f>
        <v>0</v>
      </c>
      <c r="W60" s="17">
        <v>0</v>
      </c>
      <c r="X60" s="17">
        <v>0</v>
      </c>
      <c r="Y60" s="12">
        <v>0</v>
      </c>
    </row>
    <row r="61" spans="1:25" s="19" customFormat="1" ht="14.25" customHeight="1" x14ac:dyDescent="0.2">
      <c r="A61" s="13">
        <v>50</v>
      </c>
      <c r="B61" s="13">
        <v>152</v>
      </c>
      <c r="C61" s="13">
        <v>89</v>
      </c>
      <c r="D61" s="15">
        <v>1</v>
      </c>
      <c r="E61" s="13">
        <v>16</v>
      </c>
      <c r="F61" s="13">
        <v>0</v>
      </c>
      <c r="G61" s="15"/>
      <c r="H61" s="13">
        <v>76</v>
      </c>
      <c r="I61" s="14">
        <f>H61/A61</f>
        <v>1.52</v>
      </c>
      <c r="J61" s="13">
        <v>0</v>
      </c>
      <c r="K61" s="15">
        <v>1</v>
      </c>
      <c r="L61" s="13">
        <v>58</v>
      </c>
      <c r="M61" s="13">
        <v>1</v>
      </c>
      <c r="N61" s="16"/>
      <c r="O61" s="14"/>
      <c r="P61" s="14"/>
      <c r="Q61" s="17">
        <f>IF(F61&lt;2,IF(M61&lt;2,0,1),1)</f>
        <v>0</v>
      </c>
      <c r="R61" s="18">
        <f>K61-D61</f>
        <v>0</v>
      </c>
      <c r="S61" s="17">
        <f>IF(R61&gt;0.09,1,0)</f>
        <v>0</v>
      </c>
      <c r="T61" s="17">
        <v>0</v>
      </c>
      <c r="U61" s="17">
        <v>0</v>
      </c>
      <c r="V61" s="17">
        <f>SUM(J61,Q61,S61,T61,U61)</f>
        <v>0</v>
      </c>
      <c r="W61" s="17">
        <v>0</v>
      </c>
      <c r="X61" s="17">
        <v>0</v>
      </c>
      <c r="Y61" s="12">
        <v>0</v>
      </c>
    </row>
    <row r="62" spans="1:25" s="19" customFormat="1" ht="14.25" customHeight="1" x14ac:dyDescent="0.2">
      <c r="A62" s="13">
        <v>58</v>
      </c>
      <c r="B62" s="13">
        <v>102</v>
      </c>
      <c r="C62" s="13">
        <v>57</v>
      </c>
      <c r="D62" s="15">
        <v>1</v>
      </c>
      <c r="E62" s="13">
        <v>15</v>
      </c>
      <c r="F62" s="13">
        <v>1</v>
      </c>
      <c r="G62" s="15"/>
      <c r="H62" s="13">
        <v>91</v>
      </c>
      <c r="I62" s="14">
        <f>H62/A62</f>
        <v>1.5689655172413792</v>
      </c>
      <c r="J62" s="13">
        <v>0</v>
      </c>
      <c r="K62" s="15">
        <v>1</v>
      </c>
      <c r="L62" s="13">
        <v>54</v>
      </c>
      <c r="M62" s="13">
        <v>0</v>
      </c>
      <c r="N62" s="16"/>
      <c r="O62" s="14"/>
      <c r="P62" s="14"/>
      <c r="Q62" s="17">
        <f>IF(F62&lt;2,IF(M62&lt;2,0,1),1)</f>
        <v>0</v>
      </c>
      <c r="R62" s="18">
        <f>K62-D62</f>
        <v>0</v>
      </c>
      <c r="S62" s="17">
        <f>IF(R62&gt;0.09,1,0)</f>
        <v>0</v>
      </c>
      <c r="T62" s="17">
        <v>1</v>
      </c>
      <c r="U62" s="17">
        <v>0</v>
      </c>
      <c r="V62" s="17">
        <f>SUM(J62,Q62,S62,T62,U62)</f>
        <v>1</v>
      </c>
      <c r="W62" s="17">
        <v>1</v>
      </c>
      <c r="X62" s="17">
        <v>1</v>
      </c>
      <c r="Y62" s="12">
        <v>0</v>
      </c>
    </row>
    <row r="63" spans="1:25" s="19" customFormat="1" ht="14.25" customHeight="1" x14ac:dyDescent="0.2">
      <c r="A63" s="13">
        <v>52</v>
      </c>
      <c r="B63" s="13">
        <v>108</v>
      </c>
      <c r="C63" s="13">
        <v>63</v>
      </c>
      <c r="D63" s="15">
        <v>1</v>
      </c>
      <c r="E63" s="13">
        <v>17</v>
      </c>
      <c r="F63" s="13">
        <v>1</v>
      </c>
      <c r="G63" s="15"/>
      <c r="H63" s="13">
        <v>77</v>
      </c>
      <c r="I63" s="14">
        <f>H63/A63</f>
        <v>1.4807692307692308</v>
      </c>
      <c r="J63" s="13">
        <v>0</v>
      </c>
      <c r="K63" s="15">
        <v>1</v>
      </c>
      <c r="L63" s="13">
        <v>73</v>
      </c>
      <c r="M63" s="13">
        <v>0</v>
      </c>
      <c r="N63" s="16"/>
      <c r="O63" s="14"/>
      <c r="P63" s="14"/>
      <c r="Q63" s="17">
        <f>IF(F63&lt;2,IF(M63&lt;2,0,1),1)</f>
        <v>0</v>
      </c>
      <c r="R63" s="18">
        <f>K63-D63</f>
        <v>0</v>
      </c>
      <c r="S63" s="17">
        <f>IF(R63&gt;0.09,1,0)</f>
        <v>0</v>
      </c>
      <c r="T63" s="17">
        <v>1</v>
      </c>
      <c r="U63" s="17">
        <v>0</v>
      </c>
      <c r="V63" s="17">
        <f>SUM(J63,Q63,S63,T63,U63)</f>
        <v>1</v>
      </c>
      <c r="W63" s="17">
        <v>1</v>
      </c>
      <c r="X63" s="17">
        <v>1</v>
      </c>
      <c r="Y63" s="12">
        <v>0</v>
      </c>
    </row>
    <row r="64" spans="1:25" s="19" customFormat="1" ht="14.25" customHeight="1" x14ac:dyDescent="0.2">
      <c r="A64" s="13">
        <v>60</v>
      </c>
      <c r="B64" s="13">
        <v>111</v>
      </c>
      <c r="C64" s="13">
        <v>74</v>
      </c>
      <c r="D64" s="15">
        <v>1</v>
      </c>
      <c r="E64" s="13">
        <v>29</v>
      </c>
      <c r="F64" s="13">
        <v>0</v>
      </c>
      <c r="G64" s="15">
        <v>18.100000000000001</v>
      </c>
      <c r="H64" s="13">
        <v>84</v>
      </c>
      <c r="I64" s="14">
        <f>H64/A64</f>
        <v>1.4</v>
      </c>
      <c r="J64" s="13">
        <v>0</v>
      </c>
      <c r="K64" s="15">
        <v>1</v>
      </c>
      <c r="L64" s="13">
        <v>60</v>
      </c>
      <c r="M64" s="13">
        <v>0</v>
      </c>
      <c r="N64" s="16">
        <v>18.8</v>
      </c>
      <c r="O64" s="14">
        <f>N64/G64</f>
        <v>1.0386740331491713</v>
      </c>
      <c r="P64" s="14">
        <f>N64-G64</f>
        <v>0.69999999999999929</v>
      </c>
      <c r="Q64" s="17">
        <f>IF(F64&lt;2,IF(M64&lt;2,0,1),1)</f>
        <v>0</v>
      </c>
      <c r="R64" s="18">
        <f>K64-D64</f>
        <v>0</v>
      </c>
      <c r="S64" s="17">
        <f>IF(R64&gt;0.09,1,0)</f>
        <v>0</v>
      </c>
      <c r="T64" s="17">
        <v>0</v>
      </c>
      <c r="U64" s="17">
        <v>0</v>
      </c>
      <c r="V64" s="17">
        <f>SUM(J64,Q64,S64,T64,U64)</f>
        <v>0</v>
      </c>
      <c r="W64" s="17">
        <v>0</v>
      </c>
      <c r="X64" s="17">
        <v>0</v>
      </c>
      <c r="Y64" s="12">
        <v>0</v>
      </c>
    </row>
    <row r="65" spans="1:25" s="19" customFormat="1" ht="14.25" customHeight="1" x14ac:dyDescent="0.2">
      <c r="A65" s="13">
        <v>61</v>
      </c>
      <c r="B65" s="13">
        <v>138</v>
      </c>
      <c r="C65" s="13">
        <v>85</v>
      </c>
      <c r="D65" s="15">
        <v>1</v>
      </c>
      <c r="E65" s="13">
        <v>18</v>
      </c>
      <c r="F65" s="13">
        <v>0</v>
      </c>
      <c r="G65" s="15">
        <v>17.899999999999999</v>
      </c>
      <c r="H65" s="13">
        <v>82</v>
      </c>
      <c r="I65" s="14">
        <f>H65/A65</f>
        <v>1.3442622950819672</v>
      </c>
      <c r="J65" s="13">
        <v>0</v>
      </c>
      <c r="K65" s="15">
        <v>1.25</v>
      </c>
      <c r="L65" s="13">
        <v>48</v>
      </c>
      <c r="M65" s="13">
        <v>0</v>
      </c>
      <c r="N65" s="16">
        <v>13.4</v>
      </c>
      <c r="O65" s="14">
        <f>N65/G65</f>
        <v>0.74860335195530736</v>
      </c>
      <c r="P65" s="14">
        <f>N65-G65</f>
        <v>-4.4999999999999982</v>
      </c>
      <c r="Q65" s="17">
        <f>IF(F65&lt;2,IF(M65&lt;2,0,1),1)</f>
        <v>0</v>
      </c>
      <c r="R65" s="18">
        <f>K65-D65</f>
        <v>0.25</v>
      </c>
      <c r="S65" s="17">
        <f>IF(R65&gt;0.09,1,0)</f>
        <v>1</v>
      </c>
      <c r="T65" s="17">
        <v>1</v>
      </c>
      <c r="U65" s="17">
        <v>0</v>
      </c>
      <c r="V65" s="17">
        <f>SUM(J65,Q65,S65,T65,U65)</f>
        <v>2</v>
      </c>
      <c r="W65" s="17">
        <v>2</v>
      </c>
      <c r="X65" s="17">
        <v>2</v>
      </c>
      <c r="Y65" s="12">
        <v>1</v>
      </c>
    </row>
    <row r="66" spans="1:25" s="19" customFormat="1" ht="14.25" customHeight="1" x14ac:dyDescent="0.2">
      <c r="A66" s="13">
        <v>62</v>
      </c>
      <c r="B66" s="13">
        <v>140</v>
      </c>
      <c r="C66" s="13">
        <v>89</v>
      </c>
      <c r="D66" s="15">
        <v>1</v>
      </c>
      <c r="E66" s="13">
        <v>24</v>
      </c>
      <c r="F66" s="13">
        <v>1</v>
      </c>
      <c r="G66" s="15">
        <v>19.100000000000001</v>
      </c>
      <c r="H66" s="13">
        <v>90</v>
      </c>
      <c r="I66" s="14">
        <f>H66/A66</f>
        <v>1.4516129032258065</v>
      </c>
      <c r="J66" s="13">
        <v>0</v>
      </c>
      <c r="K66" s="15">
        <v>1</v>
      </c>
      <c r="L66" s="13">
        <v>74</v>
      </c>
      <c r="M66" s="13">
        <v>0</v>
      </c>
      <c r="N66" s="16">
        <v>19.600000000000001</v>
      </c>
      <c r="O66" s="14">
        <f>N66/G66</f>
        <v>1.0261780104712042</v>
      </c>
      <c r="P66" s="14">
        <f>N66-G66</f>
        <v>0.5</v>
      </c>
      <c r="Q66" s="17">
        <f>IF(F66&lt;2,IF(M66&lt;2,0,1),1)</f>
        <v>0</v>
      </c>
      <c r="R66" s="18">
        <f>K66-D66</f>
        <v>0</v>
      </c>
      <c r="S66" s="17">
        <f>IF(R66&gt;0.09,1,0)</f>
        <v>0</v>
      </c>
      <c r="T66" s="17">
        <v>0</v>
      </c>
      <c r="U66" s="17">
        <v>0</v>
      </c>
      <c r="V66" s="17">
        <f>SUM(J66,Q66,S66,T66,U66)</f>
        <v>0</v>
      </c>
      <c r="W66" s="17">
        <v>0</v>
      </c>
      <c r="X66" s="17">
        <v>0</v>
      </c>
      <c r="Y66" s="12">
        <v>0</v>
      </c>
    </row>
    <row r="67" spans="1:25" s="19" customFormat="1" ht="14.25" customHeight="1" x14ac:dyDescent="0.2">
      <c r="A67" s="13">
        <v>62</v>
      </c>
      <c r="B67" s="13">
        <v>122</v>
      </c>
      <c r="C67" s="13">
        <v>84</v>
      </c>
      <c r="D67" s="15">
        <v>1</v>
      </c>
      <c r="E67" s="13">
        <v>13</v>
      </c>
      <c r="F67" s="13">
        <v>0</v>
      </c>
      <c r="G67" s="15">
        <v>13</v>
      </c>
      <c r="H67" s="13">
        <v>134</v>
      </c>
      <c r="I67" s="14">
        <f>H67/A67</f>
        <v>2.161290322580645</v>
      </c>
      <c r="J67" s="13">
        <v>0</v>
      </c>
      <c r="K67" s="15">
        <v>1</v>
      </c>
      <c r="L67" s="13">
        <v>33</v>
      </c>
      <c r="M67" s="13">
        <v>0</v>
      </c>
      <c r="N67" s="16">
        <v>16</v>
      </c>
      <c r="O67" s="14">
        <f>N67/G67</f>
        <v>1.2307692307692308</v>
      </c>
      <c r="P67" s="14">
        <f>N67-G67</f>
        <v>3</v>
      </c>
      <c r="Q67" s="17">
        <f>IF(F67&lt;2,IF(M67&lt;2,0,1),1)</f>
        <v>0</v>
      </c>
      <c r="R67" s="18">
        <f>K67-D67</f>
        <v>0</v>
      </c>
      <c r="S67" s="17">
        <f>IF(R67&gt;0.09,1,0)</f>
        <v>0</v>
      </c>
      <c r="T67" s="17">
        <v>0</v>
      </c>
      <c r="U67" s="17">
        <v>0</v>
      </c>
      <c r="V67" s="17">
        <f>SUM(J67,Q67,S67,T67,U67)</f>
        <v>0</v>
      </c>
      <c r="W67" s="17">
        <v>0</v>
      </c>
      <c r="X67" s="17">
        <v>0</v>
      </c>
      <c r="Y67" s="12">
        <v>1</v>
      </c>
    </row>
    <row r="68" spans="1:25" s="19" customFormat="1" ht="14.25" customHeight="1" x14ac:dyDescent="0.2">
      <c r="A68" s="13">
        <v>54</v>
      </c>
      <c r="B68" s="13">
        <v>146</v>
      </c>
      <c r="C68" s="13">
        <v>79</v>
      </c>
      <c r="D68" s="15">
        <v>1</v>
      </c>
      <c r="E68" s="13">
        <v>18</v>
      </c>
      <c r="F68" s="13">
        <v>0</v>
      </c>
      <c r="G68" s="15">
        <v>20.100000000000001</v>
      </c>
      <c r="H68" s="13">
        <v>66</v>
      </c>
      <c r="I68" s="14">
        <f>H68/A68</f>
        <v>1.2222222222222223</v>
      </c>
      <c r="J68" s="13">
        <v>0</v>
      </c>
      <c r="K68" s="15">
        <v>1.125</v>
      </c>
      <c r="L68" s="13">
        <v>52</v>
      </c>
      <c r="M68" s="13">
        <v>0</v>
      </c>
      <c r="N68" s="16">
        <v>20.7</v>
      </c>
      <c r="O68" s="14">
        <f>N68/G68</f>
        <v>1.0298507462686566</v>
      </c>
      <c r="P68" s="14">
        <f>N68-G68</f>
        <v>0.59999999999999787</v>
      </c>
      <c r="Q68" s="17">
        <f>IF(F68&lt;2,IF(M68&lt;2,0,1),1)</f>
        <v>0</v>
      </c>
      <c r="R68" s="18">
        <f>K68-D68</f>
        <v>0.125</v>
      </c>
      <c r="S68" s="17">
        <f>IF(R68&gt;0.09,1,0)</f>
        <v>1</v>
      </c>
      <c r="T68" s="17">
        <v>0</v>
      </c>
      <c r="U68" s="17">
        <v>0</v>
      </c>
      <c r="V68" s="17">
        <f>SUM(J68,Q68,S68,T68,U68)</f>
        <v>1</v>
      </c>
      <c r="W68" s="17">
        <v>1</v>
      </c>
      <c r="X68" s="17">
        <v>1</v>
      </c>
      <c r="Y68" s="12">
        <v>0</v>
      </c>
    </row>
    <row r="69" spans="1:25" s="19" customFormat="1" ht="14.25" customHeight="1" x14ac:dyDescent="0.2">
      <c r="A69" s="13">
        <v>58</v>
      </c>
      <c r="B69" s="13">
        <v>118</v>
      </c>
      <c r="C69" s="13">
        <v>72</v>
      </c>
      <c r="D69" s="15">
        <v>1</v>
      </c>
      <c r="E69" s="13">
        <v>19</v>
      </c>
      <c r="F69" s="13">
        <v>0</v>
      </c>
      <c r="G69" s="15">
        <v>21.3</v>
      </c>
      <c r="H69" s="13">
        <v>73</v>
      </c>
      <c r="I69" s="14">
        <f>H69/A69</f>
        <v>1.2586206896551724</v>
      </c>
      <c r="J69" s="13">
        <v>0</v>
      </c>
      <c r="K69" s="15">
        <v>1.19</v>
      </c>
      <c r="L69" s="13">
        <v>38</v>
      </c>
      <c r="M69" s="13">
        <v>4</v>
      </c>
      <c r="N69" s="16">
        <v>22.8</v>
      </c>
      <c r="O69" s="14">
        <f>N69/G69</f>
        <v>1.0704225352112675</v>
      </c>
      <c r="P69" s="14">
        <f>N69-G69</f>
        <v>1.5</v>
      </c>
      <c r="Q69" s="17">
        <f>IF(F69&lt;2,IF(M69&lt;2,0,1),1)</f>
        <v>1</v>
      </c>
      <c r="R69" s="18">
        <f>K69-D69</f>
        <v>0.18999999999999995</v>
      </c>
      <c r="S69" s="17">
        <f>IF(R69&gt;0.09,1,0)</f>
        <v>1</v>
      </c>
      <c r="T69" s="17">
        <v>0</v>
      </c>
      <c r="U69" s="17">
        <v>1</v>
      </c>
      <c r="V69" s="17">
        <f>SUM(J69,Q69,S69,T69,U69)</f>
        <v>3</v>
      </c>
      <c r="W69" s="17">
        <v>3</v>
      </c>
      <c r="X69" s="17">
        <v>3</v>
      </c>
      <c r="Y69" s="12">
        <v>0</v>
      </c>
    </row>
    <row r="70" spans="1:25" s="19" customFormat="1" ht="14.25" customHeight="1" x14ac:dyDescent="0.2">
      <c r="A70" s="13">
        <v>76</v>
      </c>
      <c r="B70" s="13">
        <v>157</v>
      </c>
      <c r="C70" s="13">
        <v>79</v>
      </c>
      <c r="D70" s="15">
        <v>1</v>
      </c>
      <c r="E70" s="13">
        <v>32</v>
      </c>
      <c r="F70" s="13">
        <v>5</v>
      </c>
      <c r="G70" s="15">
        <v>19</v>
      </c>
      <c r="H70" s="13">
        <v>111</v>
      </c>
      <c r="I70" s="14">
        <f>H70/A70</f>
        <v>1.4605263157894737</v>
      </c>
      <c r="J70" s="13">
        <v>0</v>
      </c>
      <c r="K70" s="15">
        <v>1</v>
      </c>
      <c r="L70" s="13">
        <v>45</v>
      </c>
      <c r="M70" s="13">
        <v>1</v>
      </c>
      <c r="N70" s="16">
        <v>17.100000000000001</v>
      </c>
      <c r="O70" s="14">
        <f>N70/G70</f>
        <v>0.9</v>
      </c>
      <c r="P70" s="14">
        <f>N70-G70</f>
        <v>-1.8999999999999986</v>
      </c>
      <c r="Q70" s="17">
        <f>IF(F70&lt;2,IF(M70&lt;2,0,1),1)</f>
        <v>1</v>
      </c>
      <c r="R70" s="18">
        <f>K70-D70</f>
        <v>0</v>
      </c>
      <c r="S70" s="17">
        <f>IF(R70&gt;0.09,1,0)</f>
        <v>0</v>
      </c>
      <c r="T70" s="17">
        <v>1</v>
      </c>
      <c r="U70" s="17">
        <v>1</v>
      </c>
      <c r="V70" s="17">
        <f>SUM(J70,Q70,S70,T70,U70)</f>
        <v>3</v>
      </c>
      <c r="W70" s="17">
        <v>4</v>
      </c>
      <c r="X70" s="17">
        <v>5</v>
      </c>
      <c r="Y70" s="12">
        <v>1</v>
      </c>
    </row>
    <row r="71" spans="1:25" s="19" customFormat="1" ht="14.25" customHeight="1" x14ac:dyDescent="0.2">
      <c r="A71" s="13">
        <v>78</v>
      </c>
      <c r="B71" s="13">
        <v>165</v>
      </c>
      <c r="C71" s="13">
        <v>87</v>
      </c>
      <c r="D71" s="15">
        <v>1</v>
      </c>
      <c r="E71" s="13">
        <v>22</v>
      </c>
      <c r="F71" s="13">
        <v>0</v>
      </c>
      <c r="G71" s="15">
        <v>22.3</v>
      </c>
      <c r="H71" s="13">
        <v>100</v>
      </c>
      <c r="I71" s="14">
        <f>H71/A71</f>
        <v>1.2820512820512822</v>
      </c>
      <c r="J71" s="13">
        <v>0</v>
      </c>
      <c r="K71" s="15">
        <v>1</v>
      </c>
      <c r="L71" s="13">
        <v>34</v>
      </c>
      <c r="M71" s="13"/>
      <c r="N71" s="16">
        <v>22.9</v>
      </c>
      <c r="O71" s="14">
        <f>N71/G71</f>
        <v>1.0269058295964124</v>
      </c>
      <c r="P71" s="14">
        <f>N71-G71</f>
        <v>0.59999999999999787</v>
      </c>
      <c r="Q71" s="17"/>
      <c r="R71" s="18">
        <f>K71-D71</f>
        <v>0</v>
      </c>
      <c r="S71" s="17">
        <f>IF(R71&gt;0.09,1,0)</f>
        <v>0</v>
      </c>
      <c r="T71" s="17">
        <v>0</v>
      </c>
      <c r="U71" s="17">
        <v>1</v>
      </c>
      <c r="V71" s="17">
        <f>SUM(J71,Q71,S71,T71,U71)</f>
        <v>1</v>
      </c>
      <c r="W71" s="17">
        <v>1</v>
      </c>
      <c r="X71" s="17">
        <v>1</v>
      </c>
      <c r="Y71" s="12">
        <v>0</v>
      </c>
    </row>
    <row r="72" spans="1:25" s="25" customFormat="1" ht="14.25" customHeight="1" x14ac:dyDescent="0.2">
      <c r="A72" s="21">
        <v>63</v>
      </c>
      <c r="B72" s="21">
        <v>138</v>
      </c>
      <c r="C72" s="21">
        <v>82</v>
      </c>
      <c r="D72" s="22">
        <v>1</v>
      </c>
      <c r="E72" s="21">
        <v>46</v>
      </c>
      <c r="F72" s="21">
        <v>1</v>
      </c>
      <c r="G72" s="22">
        <v>19.3</v>
      </c>
      <c r="H72" s="21">
        <v>113</v>
      </c>
      <c r="I72" s="22">
        <f>H72/A72</f>
        <v>1.7936507936507937</v>
      </c>
      <c r="J72" s="21">
        <v>0</v>
      </c>
      <c r="K72" s="22">
        <v>1</v>
      </c>
      <c r="L72" s="21">
        <v>112</v>
      </c>
      <c r="M72" s="21">
        <v>0</v>
      </c>
      <c r="N72" s="23">
        <v>21</v>
      </c>
      <c r="O72" s="22">
        <f>N72/G72</f>
        <v>1.088082901554404</v>
      </c>
      <c r="P72" s="22">
        <f>N72-G72</f>
        <v>1.6999999999999993</v>
      </c>
      <c r="Q72" s="21">
        <f>IF(F72&lt;2,IF(M72&lt;2,0,1),1)</f>
        <v>0</v>
      </c>
      <c r="R72" s="24">
        <f>K72-D72</f>
        <v>0</v>
      </c>
      <c r="S72" s="21">
        <f>IF(R72&gt;0.09,1,0)</f>
        <v>0</v>
      </c>
      <c r="T72" s="21">
        <v>0</v>
      </c>
      <c r="U72" s="21">
        <v>0</v>
      </c>
      <c r="V72" s="21">
        <f>SUM(J72,Q72,S72,T72,U72)</f>
        <v>0</v>
      </c>
      <c r="W72" s="21">
        <v>0</v>
      </c>
      <c r="X72" s="21">
        <v>0</v>
      </c>
      <c r="Y72" s="20">
        <v>0</v>
      </c>
    </row>
    <row r="73" spans="1:25" s="19" customFormat="1" ht="14.25" customHeight="1" x14ac:dyDescent="0.2">
      <c r="A73" s="13">
        <v>72</v>
      </c>
      <c r="B73" s="13">
        <v>112</v>
      </c>
      <c r="C73" s="13">
        <v>91</v>
      </c>
      <c r="D73" s="15">
        <v>1</v>
      </c>
      <c r="E73" s="13">
        <v>27</v>
      </c>
      <c r="F73" s="13">
        <v>0</v>
      </c>
      <c r="G73" s="15">
        <v>22</v>
      </c>
      <c r="H73" s="13">
        <v>110</v>
      </c>
      <c r="I73" s="14">
        <f>H73/A73</f>
        <v>1.5277777777777777</v>
      </c>
      <c r="J73" s="13">
        <v>0</v>
      </c>
      <c r="K73" s="15">
        <v>1.125</v>
      </c>
      <c r="L73" s="13">
        <v>52</v>
      </c>
      <c r="M73" s="13">
        <v>0</v>
      </c>
      <c r="N73" s="16">
        <v>16.8</v>
      </c>
      <c r="O73" s="14">
        <f>N73/G73</f>
        <v>0.76363636363636367</v>
      </c>
      <c r="P73" s="14">
        <f>N73-G73</f>
        <v>-5.1999999999999993</v>
      </c>
      <c r="Q73" s="17">
        <f>IF(F73&lt;2,IF(M73&lt;2,0,1),1)</f>
        <v>0</v>
      </c>
      <c r="R73" s="18">
        <f>K73-D73</f>
        <v>0.125</v>
      </c>
      <c r="S73" s="17">
        <f>IF(R73&gt;0.09,1,0)</f>
        <v>1</v>
      </c>
      <c r="T73" s="17">
        <v>1</v>
      </c>
      <c r="U73" s="17">
        <v>1</v>
      </c>
      <c r="V73" s="17">
        <f>SUM(J73,Q73,S73,T73,U73)</f>
        <v>3</v>
      </c>
      <c r="W73" s="17">
        <v>3</v>
      </c>
      <c r="X73" s="17">
        <v>4</v>
      </c>
      <c r="Y73" s="12">
        <v>1</v>
      </c>
    </row>
    <row r="74" spans="1:25" s="19" customFormat="1" ht="14.25" customHeight="1" x14ac:dyDescent="0.2">
      <c r="A74" s="13">
        <v>80</v>
      </c>
      <c r="B74" s="13">
        <v>141</v>
      </c>
      <c r="C74" s="13">
        <v>85</v>
      </c>
      <c r="D74" s="15">
        <v>1</v>
      </c>
      <c r="E74" s="13">
        <v>39</v>
      </c>
      <c r="F74" s="13">
        <v>0</v>
      </c>
      <c r="G74" s="15">
        <v>20.100000000000001</v>
      </c>
      <c r="H74" s="13">
        <v>160</v>
      </c>
      <c r="I74" s="14">
        <f>H74/A74</f>
        <v>2</v>
      </c>
      <c r="J74" s="13">
        <v>0</v>
      </c>
      <c r="K74" s="15">
        <v>1</v>
      </c>
      <c r="L74" s="13">
        <v>38</v>
      </c>
      <c r="M74" s="13">
        <v>0</v>
      </c>
      <c r="N74" s="16">
        <v>6.9</v>
      </c>
      <c r="O74" s="14">
        <f>N74/G74</f>
        <v>0.34328358208955223</v>
      </c>
      <c r="P74" s="14">
        <f>N74-G74</f>
        <v>-13.200000000000001</v>
      </c>
      <c r="Q74" s="17">
        <f>IF(F74&lt;2,IF(M74&lt;2,0,1),1)</f>
        <v>0</v>
      </c>
      <c r="R74" s="18">
        <f>K74-D74</f>
        <v>0</v>
      </c>
      <c r="S74" s="17">
        <f>IF(R74&gt;0.09,1,0)</f>
        <v>0</v>
      </c>
      <c r="T74" s="17">
        <v>0</v>
      </c>
      <c r="U74" s="17">
        <v>1</v>
      </c>
      <c r="V74" s="17">
        <f>SUM(J74,Q74,S74,T74,U74)</f>
        <v>1</v>
      </c>
      <c r="W74" s="17">
        <v>1</v>
      </c>
      <c r="X74" s="17">
        <v>1</v>
      </c>
      <c r="Y74" s="12">
        <v>1</v>
      </c>
    </row>
    <row r="75" spans="1:25" s="19" customFormat="1" ht="14.25" customHeight="1" x14ac:dyDescent="0.2">
      <c r="A75" s="13">
        <v>71</v>
      </c>
      <c r="B75" s="13">
        <v>130</v>
      </c>
      <c r="C75" s="13">
        <v>78</v>
      </c>
      <c r="D75" s="15">
        <v>1</v>
      </c>
      <c r="E75" s="13"/>
      <c r="F75" s="13">
        <v>0</v>
      </c>
      <c r="G75" s="15">
        <v>14</v>
      </c>
      <c r="H75" s="13">
        <v>118</v>
      </c>
      <c r="I75" s="14">
        <f>H75/A75</f>
        <v>1.6619718309859155</v>
      </c>
      <c r="J75" s="13">
        <v>0</v>
      </c>
      <c r="K75" s="15">
        <v>1</v>
      </c>
      <c r="L75" s="13"/>
      <c r="M75" s="13">
        <v>0</v>
      </c>
      <c r="N75" s="16">
        <v>15</v>
      </c>
      <c r="O75" s="14">
        <f>N75/G75</f>
        <v>1.0714285714285714</v>
      </c>
      <c r="P75" s="14">
        <f>N75-G75</f>
        <v>1</v>
      </c>
      <c r="Q75" s="17">
        <f>IF(F75&lt;2,IF(M75&lt;2,0,1),1)</f>
        <v>0</v>
      </c>
      <c r="R75" s="18">
        <f>K75-D75</f>
        <v>0</v>
      </c>
      <c r="S75" s="17">
        <f>IF(R75&gt;0.09,1,0)</f>
        <v>0</v>
      </c>
      <c r="T75" s="17">
        <v>1</v>
      </c>
      <c r="U75" s="17"/>
      <c r="V75" s="17">
        <f>SUM(J75,Q75,S75,T75,U75)</f>
        <v>1</v>
      </c>
      <c r="W75" s="17">
        <v>1</v>
      </c>
      <c r="X75" s="17">
        <v>2</v>
      </c>
      <c r="Y75" s="12">
        <v>1</v>
      </c>
    </row>
    <row r="76" spans="1:25" s="19" customFormat="1" ht="14.25" customHeight="1" x14ac:dyDescent="0.2">
      <c r="A76" s="13">
        <v>64</v>
      </c>
      <c r="B76" s="13">
        <v>149</v>
      </c>
      <c r="C76" s="13">
        <v>90</v>
      </c>
      <c r="D76" s="15">
        <v>1</v>
      </c>
      <c r="E76" s="13">
        <v>28</v>
      </c>
      <c r="F76" s="13">
        <v>0</v>
      </c>
      <c r="G76" s="15">
        <v>21.1</v>
      </c>
      <c r="H76" s="13">
        <v>85</v>
      </c>
      <c r="I76" s="14">
        <f>H76/A76</f>
        <v>1.328125</v>
      </c>
      <c r="J76" s="13">
        <v>0</v>
      </c>
      <c r="K76" s="15">
        <v>1</v>
      </c>
      <c r="L76" s="13">
        <v>57</v>
      </c>
      <c r="M76" s="13">
        <v>0</v>
      </c>
      <c r="N76" s="16">
        <v>21.5</v>
      </c>
      <c r="O76" s="14">
        <f>N76/G76</f>
        <v>1.018957345971564</v>
      </c>
      <c r="P76" s="14">
        <f>N76-G76</f>
        <v>0.39999999999999858</v>
      </c>
      <c r="Q76" s="17">
        <f>IF(F76&lt;2,IF(M76&lt;2,0,1),1)</f>
        <v>0</v>
      </c>
      <c r="R76" s="18">
        <f>K76-D76</f>
        <v>0</v>
      </c>
      <c r="S76" s="17">
        <f>IF(R76&gt;0.09,1,0)</f>
        <v>0</v>
      </c>
      <c r="T76" s="17">
        <v>1</v>
      </c>
      <c r="U76" s="17">
        <v>0</v>
      </c>
      <c r="V76" s="17">
        <f>SUM(J76,Q76,S76,T76,U76)</f>
        <v>1</v>
      </c>
      <c r="W76" s="17">
        <v>1</v>
      </c>
      <c r="X76" s="17">
        <v>1</v>
      </c>
      <c r="Y76" s="12">
        <v>0</v>
      </c>
    </row>
    <row r="77" spans="1:25" s="25" customFormat="1" ht="14.25" customHeight="1" x14ac:dyDescent="0.2">
      <c r="A77" s="21">
        <v>82</v>
      </c>
      <c r="B77" s="21">
        <v>160</v>
      </c>
      <c r="C77" s="21">
        <v>96</v>
      </c>
      <c r="D77" s="22">
        <v>1</v>
      </c>
      <c r="E77" s="21">
        <v>25</v>
      </c>
      <c r="F77" s="21">
        <v>1</v>
      </c>
      <c r="G77" s="22">
        <v>16.899999999999999</v>
      </c>
      <c r="H77" s="21">
        <v>109</v>
      </c>
      <c r="I77" s="22">
        <f>H77/A77</f>
        <v>1.3292682926829269</v>
      </c>
      <c r="J77" s="21">
        <v>0</v>
      </c>
      <c r="K77" s="22">
        <v>1</v>
      </c>
      <c r="L77" s="21">
        <v>69</v>
      </c>
      <c r="M77" s="21">
        <v>0</v>
      </c>
      <c r="N77" s="23">
        <v>19.2</v>
      </c>
      <c r="O77" s="22">
        <f>N77/G77</f>
        <v>1.136094674556213</v>
      </c>
      <c r="P77" s="22">
        <f>N77-G77</f>
        <v>2.3000000000000007</v>
      </c>
      <c r="Q77" s="21">
        <f>IF(F77&lt;2,IF(M77&lt;2,0,1),1)</f>
        <v>0</v>
      </c>
      <c r="R77" s="24">
        <f>K77-D77</f>
        <v>0</v>
      </c>
      <c r="S77" s="21">
        <f>IF(R77&gt;0.09,1,0)</f>
        <v>0</v>
      </c>
      <c r="T77" s="21">
        <v>0</v>
      </c>
      <c r="U77" s="21">
        <v>0</v>
      </c>
      <c r="V77" s="21">
        <f>SUM(J77,Q77,S77,T77,U77)</f>
        <v>0</v>
      </c>
      <c r="W77" s="21">
        <v>0</v>
      </c>
      <c r="X77" s="21">
        <v>1</v>
      </c>
      <c r="Y77" s="20">
        <v>0</v>
      </c>
    </row>
    <row r="78" spans="1:25" s="19" customFormat="1" ht="14.25" customHeight="1" x14ac:dyDescent="0.2">
      <c r="A78" s="13">
        <v>73</v>
      </c>
      <c r="B78" s="13">
        <v>118</v>
      </c>
      <c r="C78" s="13">
        <v>71</v>
      </c>
      <c r="D78" s="15">
        <v>1</v>
      </c>
      <c r="E78" s="13">
        <v>34</v>
      </c>
      <c r="F78" s="13">
        <v>0</v>
      </c>
      <c r="G78" s="15">
        <v>17.5</v>
      </c>
      <c r="H78" s="13">
        <v>110</v>
      </c>
      <c r="I78" s="14">
        <f>H78/A78</f>
        <v>1.5068493150684932</v>
      </c>
      <c r="J78" s="13">
        <v>0</v>
      </c>
      <c r="K78" s="15">
        <v>1.19</v>
      </c>
      <c r="L78" s="13">
        <v>50</v>
      </c>
      <c r="M78" s="13">
        <v>0</v>
      </c>
      <c r="N78" s="16">
        <v>17.5</v>
      </c>
      <c r="O78" s="14">
        <f>N78/G78</f>
        <v>1</v>
      </c>
      <c r="P78" s="14">
        <f>N78-G78</f>
        <v>0</v>
      </c>
      <c r="Q78" s="17">
        <f>IF(F78&lt;2,IF(M78&lt;2,0,1),1)</f>
        <v>0</v>
      </c>
      <c r="R78" s="18">
        <f>K78-D78</f>
        <v>0.18999999999999995</v>
      </c>
      <c r="S78" s="17">
        <f>IF(R78&gt;0.09,1,0)</f>
        <v>1</v>
      </c>
      <c r="T78" s="17">
        <v>1</v>
      </c>
      <c r="U78" s="17">
        <v>1</v>
      </c>
      <c r="V78" s="17">
        <f>SUM(J78,Q78,S78,T78,U78)</f>
        <v>3</v>
      </c>
      <c r="W78" s="17">
        <v>4</v>
      </c>
      <c r="X78" s="17">
        <v>4</v>
      </c>
      <c r="Y78" s="12">
        <v>1</v>
      </c>
    </row>
    <row r="79" spans="1:25" s="19" customFormat="1" ht="14.25" customHeight="1" x14ac:dyDescent="0.2">
      <c r="A79" s="13">
        <v>46</v>
      </c>
      <c r="B79" s="13">
        <v>136</v>
      </c>
      <c r="C79" s="13">
        <v>85</v>
      </c>
      <c r="D79" s="15">
        <v>1</v>
      </c>
      <c r="E79" s="13">
        <v>28</v>
      </c>
      <c r="F79" s="13">
        <v>1</v>
      </c>
      <c r="G79" s="15">
        <v>12.5</v>
      </c>
      <c r="H79" s="13">
        <v>65</v>
      </c>
      <c r="I79" s="14">
        <f>H79/A79</f>
        <v>1.4130434782608696</v>
      </c>
      <c r="J79" s="13">
        <v>0</v>
      </c>
      <c r="K79" s="15">
        <v>1</v>
      </c>
      <c r="L79" s="13">
        <v>52</v>
      </c>
      <c r="M79" s="13">
        <v>4</v>
      </c>
      <c r="N79" s="16">
        <v>16.5</v>
      </c>
      <c r="O79" s="14">
        <f>N79/G79</f>
        <v>1.32</v>
      </c>
      <c r="P79" s="14">
        <f>N79-G79</f>
        <v>4</v>
      </c>
      <c r="Q79" s="17">
        <f>IF(F79&lt;2,IF(M79&lt;2,0,1),1)</f>
        <v>1</v>
      </c>
      <c r="R79" s="18">
        <f>K79-D79</f>
        <v>0</v>
      </c>
      <c r="S79" s="17">
        <f>IF(R79&gt;0.09,1,0)</f>
        <v>0</v>
      </c>
      <c r="T79" s="17">
        <v>0</v>
      </c>
      <c r="U79" s="17">
        <v>1</v>
      </c>
      <c r="V79" s="17">
        <f>SUM(J79,Q79,S79,T79,U79)</f>
        <v>2</v>
      </c>
      <c r="W79" s="17">
        <v>2</v>
      </c>
      <c r="X79" s="17">
        <v>2</v>
      </c>
      <c r="Y79" s="12">
        <v>0</v>
      </c>
    </row>
    <row r="80" spans="1:25" s="19" customFormat="1" ht="14.25" customHeight="1" x14ac:dyDescent="0.2">
      <c r="A80" s="13">
        <v>90</v>
      </c>
      <c r="B80" s="13">
        <v>118</v>
      </c>
      <c r="C80" s="13">
        <v>84</v>
      </c>
      <c r="D80" s="15">
        <v>1</v>
      </c>
      <c r="E80" s="13">
        <v>38</v>
      </c>
      <c r="F80" s="13">
        <v>0</v>
      </c>
      <c r="G80" s="15">
        <v>16.7</v>
      </c>
      <c r="H80" s="13">
        <v>108</v>
      </c>
      <c r="I80" s="14">
        <f>H80/A80</f>
        <v>1.2</v>
      </c>
      <c r="J80" s="13">
        <v>1</v>
      </c>
      <c r="K80" s="15">
        <v>1</v>
      </c>
      <c r="L80" s="13">
        <v>55</v>
      </c>
      <c r="M80" s="13">
        <v>0</v>
      </c>
      <c r="N80" s="16">
        <v>19.899999999999999</v>
      </c>
      <c r="O80" s="14">
        <f>N80/G80</f>
        <v>1.1916167664670658</v>
      </c>
      <c r="P80" s="14">
        <f>N80-G80</f>
        <v>3.1999999999999993</v>
      </c>
      <c r="Q80" s="17">
        <f>IF(F80&lt;2,IF(M80&lt;2,0,1),1)</f>
        <v>0</v>
      </c>
      <c r="R80" s="18">
        <f>K80-D80</f>
        <v>0</v>
      </c>
      <c r="S80" s="17">
        <f>IF(R80&gt;0.09,1,0)</f>
        <v>0</v>
      </c>
      <c r="T80" s="17">
        <v>1</v>
      </c>
      <c r="U80" s="17">
        <v>1</v>
      </c>
      <c r="V80" s="17">
        <f>SUM(J80,Q80,S80,T80,U80)</f>
        <v>3</v>
      </c>
      <c r="W80" s="17">
        <v>3</v>
      </c>
      <c r="X80" s="17">
        <v>3</v>
      </c>
      <c r="Y80" s="12">
        <v>0</v>
      </c>
    </row>
    <row r="81" spans="1:25" s="19" customFormat="1" ht="14.25" customHeight="1" x14ac:dyDescent="0.2">
      <c r="A81" s="13">
        <v>80</v>
      </c>
      <c r="B81" s="13">
        <v>148</v>
      </c>
      <c r="C81" s="13">
        <v>88</v>
      </c>
      <c r="D81" s="15">
        <v>1</v>
      </c>
      <c r="E81" s="13">
        <v>31</v>
      </c>
      <c r="F81" s="13">
        <v>3</v>
      </c>
      <c r="G81" s="15">
        <v>20.2</v>
      </c>
      <c r="H81" s="13">
        <v>98</v>
      </c>
      <c r="I81" s="14">
        <f>H81/A81</f>
        <v>1.2250000000000001</v>
      </c>
      <c r="J81" s="13">
        <v>0</v>
      </c>
      <c r="K81" s="15">
        <v>1</v>
      </c>
      <c r="L81" s="13">
        <v>72</v>
      </c>
      <c r="M81" s="13">
        <v>0</v>
      </c>
      <c r="N81" s="16">
        <v>18.7</v>
      </c>
      <c r="O81" s="14">
        <f>N81/G81</f>
        <v>0.92574257425742579</v>
      </c>
      <c r="P81" s="14">
        <f>N81-G81</f>
        <v>-1.5</v>
      </c>
      <c r="Q81" s="17">
        <f>IF(F81&lt;2,IF(M81&lt;2,0,1),1)</f>
        <v>1</v>
      </c>
      <c r="R81" s="18">
        <f>K81-D81</f>
        <v>0</v>
      </c>
      <c r="S81" s="17">
        <f>IF(R81&gt;0.09,1,0)</f>
        <v>0</v>
      </c>
      <c r="T81" s="17">
        <v>1</v>
      </c>
      <c r="U81" s="17">
        <v>0</v>
      </c>
      <c r="V81" s="17">
        <f>SUM(J81,Q81,S81,T81,U81)</f>
        <v>2</v>
      </c>
      <c r="W81" s="17">
        <v>2</v>
      </c>
      <c r="X81" s="17">
        <v>2</v>
      </c>
      <c r="Y81" s="12">
        <v>0</v>
      </c>
    </row>
    <row r="82" spans="1:25" s="25" customFormat="1" ht="14.25" customHeight="1" x14ac:dyDescent="0.2">
      <c r="A82" s="21">
        <v>62</v>
      </c>
      <c r="B82" s="21">
        <v>114</v>
      </c>
      <c r="C82" s="21">
        <v>71</v>
      </c>
      <c r="D82" s="22">
        <v>1</v>
      </c>
      <c r="E82" s="21">
        <v>24</v>
      </c>
      <c r="F82" s="21">
        <v>4</v>
      </c>
      <c r="G82" s="22">
        <v>22.2</v>
      </c>
      <c r="H82" s="21">
        <v>85</v>
      </c>
      <c r="I82" s="22">
        <f>H82/A82</f>
        <v>1.3709677419354838</v>
      </c>
      <c r="J82" s="21">
        <v>0</v>
      </c>
      <c r="K82" s="22">
        <v>1.125</v>
      </c>
      <c r="L82" s="21">
        <v>40</v>
      </c>
      <c r="M82" s="21"/>
      <c r="N82" s="23">
        <v>20.2</v>
      </c>
      <c r="O82" s="22">
        <f>N82/G82</f>
        <v>0.90990990990990994</v>
      </c>
      <c r="P82" s="22">
        <f>N82-G82</f>
        <v>-2</v>
      </c>
      <c r="Q82" s="21"/>
      <c r="R82" s="24">
        <f>K82-D82</f>
        <v>0.125</v>
      </c>
      <c r="S82" s="21">
        <f>IF(R82&gt;0.09,1,0)</f>
        <v>1</v>
      </c>
      <c r="T82" s="21">
        <v>0</v>
      </c>
      <c r="U82" s="21">
        <v>1</v>
      </c>
      <c r="V82" s="21">
        <f>SUM(J82,Q82,S82,T82,U82)</f>
        <v>2</v>
      </c>
      <c r="W82" s="21">
        <v>2</v>
      </c>
      <c r="X82" s="21">
        <v>2</v>
      </c>
      <c r="Y82" s="20">
        <v>1</v>
      </c>
    </row>
    <row r="83" spans="1:25" s="19" customFormat="1" ht="14.25" customHeight="1" x14ac:dyDescent="0.2">
      <c r="A83" s="13">
        <v>63</v>
      </c>
      <c r="B83" s="13">
        <v>130</v>
      </c>
      <c r="C83" s="13">
        <v>70</v>
      </c>
      <c r="D83" s="15">
        <v>1</v>
      </c>
      <c r="E83" s="13">
        <v>37</v>
      </c>
      <c r="F83" s="13">
        <v>2</v>
      </c>
      <c r="G83" s="15">
        <v>18.8</v>
      </c>
      <c r="H83" s="13">
        <v>88</v>
      </c>
      <c r="I83" s="14">
        <f>H83/A83</f>
        <v>1.3968253968253967</v>
      </c>
      <c r="J83" s="13">
        <v>0</v>
      </c>
      <c r="K83" s="15">
        <v>1.35</v>
      </c>
      <c r="L83" s="13">
        <v>105</v>
      </c>
      <c r="M83" s="13">
        <v>2</v>
      </c>
      <c r="N83" s="16">
        <v>19</v>
      </c>
      <c r="O83" s="14">
        <f>N83/G83</f>
        <v>1.0106382978723405</v>
      </c>
      <c r="P83" s="14">
        <f>N83-G83</f>
        <v>0.19999999999999929</v>
      </c>
      <c r="Q83" s="17">
        <f>IF(F83&lt;2,IF(M83&lt;2,0,1),1)</f>
        <v>1</v>
      </c>
      <c r="R83" s="18">
        <f>K83-D83</f>
        <v>0.35000000000000009</v>
      </c>
      <c r="S83" s="17">
        <f>IF(R83&gt;0.09,1,0)</f>
        <v>1</v>
      </c>
      <c r="T83" s="17">
        <v>1</v>
      </c>
      <c r="U83" s="17">
        <v>0</v>
      </c>
      <c r="V83" s="17">
        <f>SUM(J83,Q83,S83,T83,U83)</f>
        <v>3</v>
      </c>
      <c r="W83" s="17">
        <v>4</v>
      </c>
      <c r="X83" s="17">
        <v>4</v>
      </c>
      <c r="Y83" s="12">
        <v>1</v>
      </c>
    </row>
    <row r="84" spans="1:25" s="19" customFormat="1" ht="14.25" customHeight="1" x14ac:dyDescent="0.2">
      <c r="A84" s="13">
        <v>78</v>
      </c>
      <c r="B84" s="13">
        <v>186</v>
      </c>
      <c r="C84" s="13">
        <v>82</v>
      </c>
      <c r="D84" s="15">
        <v>1</v>
      </c>
      <c r="E84" s="13">
        <v>30</v>
      </c>
      <c r="F84" s="13">
        <v>0</v>
      </c>
      <c r="G84" s="15">
        <v>18.8</v>
      </c>
      <c r="H84" s="13">
        <v>120</v>
      </c>
      <c r="I84" s="14">
        <f>H84/A84</f>
        <v>1.5384615384615385</v>
      </c>
      <c r="J84" s="13">
        <v>0</v>
      </c>
      <c r="K84" s="15">
        <v>1.19</v>
      </c>
      <c r="L84" s="13">
        <v>37</v>
      </c>
      <c r="M84" s="13">
        <v>0</v>
      </c>
      <c r="N84" s="16">
        <v>17.8</v>
      </c>
      <c r="O84" s="14">
        <f>N84/G84</f>
        <v>0.94680851063829785</v>
      </c>
      <c r="P84" s="14">
        <f>N84-G84</f>
        <v>-1</v>
      </c>
      <c r="Q84" s="17">
        <f>IF(F84&lt;2,IF(M84&lt;2,0,1),1)</f>
        <v>0</v>
      </c>
      <c r="R84" s="18">
        <f>K84-D84</f>
        <v>0.18999999999999995</v>
      </c>
      <c r="S84" s="17">
        <f>IF(R84&gt;0.09,1,0)</f>
        <v>1</v>
      </c>
      <c r="T84" s="17">
        <v>1</v>
      </c>
      <c r="U84" s="17">
        <v>1</v>
      </c>
      <c r="V84" s="17">
        <f>SUM(J84,Q84,S84,T84,U84)</f>
        <v>3</v>
      </c>
      <c r="W84" s="17">
        <v>3</v>
      </c>
      <c r="X84" s="17">
        <v>4</v>
      </c>
      <c r="Y84" s="12">
        <v>1</v>
      </c>
    </row>
    <row r="85" spans="1:25" s="19" customFormat="1" ht="14.25" customHeight="1" x14ac:dyDescent="0.2">
      <c r="A85" s="13">
        <v>53</v>
      </c>
      <c r="B85" s="13">
        <v>143</v>
      </c>
      <c r="C85" s="13">
        <v>73</v>
      </c>
      <c r="D85" s="15">
        <v>1</v>
      </c>
      <c r="E85" s="13">
        <v>22</v>
      </c>
      <c r="F85" s="13">
        <v>3</v>
      </c>
      <c r="G85" s="15">
        <v>19.100000000000001</v>
      </c>
      <c r="H85" s="13">
        <v>140</v>
      </c>
      <c r="I85" s="14">
        <f>H85/A85</f>
        <v>2.641509433962264</v>
      </c>
      <c r="J85" s="13">
        <v>0</v>
      </c>
      <c r="K85" s="15">
        <v>1.19</v>
      </c>
      <c r="L85" s="13">
        <v>58</v>
      </c>
      <c r="M85" s="13">
        <v>11</v>
      </c>
      <c r="N85" s="16">
        <v>21.2</v>
      </c>
      <c r="O85" s="14">
        <f>N85/G85</f>
        <v>1.1099476439790574</v>
      </c>
      <c r="P85" s="14">
        <f>N85-G85</f>
        <v>2.0999999999999979</v>
      </c>
      <c r="Q85" s="17">
        <f>IF(F85&lt;2,IF(M85&lt;2,0,1),1)</f>
        <v>1</v>
      </c>
      <c r="R85" s="18">
        <f>K85-D85</f>
        <v>0.18999999999999995</v>
      </c>
      <c r="S85" s="17">
        <f>IF(R85&gt;0.09,1,0)</f>
        <v>1</v>
      </c>
      <c r="T85" s="17">
        <v>1</v>
      </c>
      <c r="U85" s="17">
        <v>0</v>
      </c>
      <c r="V85" s="17">
        <f>SUM(J85,Q85,S85,T85,U85)</f>
        <v>3</v>
      </c>
      <c r="W85" s="17">
        <v>3</v>
      </c>
      <c r="X85" s="17">
        <v>3</v>
      </c>
      <c r="Y85" s="12">
        <v>0</v>
      </c>
    </row>
    <row r="86" spans="1:25" s="19" customFormat="1" ht="14.25" customHeight="1" x14ac:dyDescent="0.2">
      <c r="A86" s="13">
        <v>52</v>
      </c>
      <c r="B86" s="13">
        <v>165</v>
      </c>
      <c r="C86" s="13">
        <v>93</v>
      </c>
      <c r="D86" s="15">
        <v>1</v>
      </c>
      <c r="E86" s="13">
        <v>23</v>
      </c>
      <c r="F86" s="13">
        <v>0</v>
      </c>
      <c r="G86" s="15">
        <v>17.8</v>
      </c>
      <c r="H86" s="13">
        <v>55</v>
      </c>
      <c r="I86" s="14">
        <f>H86/A86</f>
        <v>1.0576923076923077</v>
      </c>
      <c r="J86" s="13">
        <v>1</v>
      </c>
      <c r="K86" s="15">
        <v>1.125</v>
      </c>
      <c r="L86" s="13">
        <v>29</v>
      </c>
      <c r="M86" s="13">
        <v>0</v>
      </c>
      <c r="N86" s="16">
        <v>19.8</v>
      </c>
      <c r="O86" s="14">
        <f>N86/G86</f>
        <v>1.1123595505617978</v>
      </c>
      <c r="P86" s="14">
        <f>N86-G86</f>
        <v>2</v>
      </c>
      <c r="Q86" s="17">
        <f>IF(F86&lt;2,IF(M86&lt;2,0,1),1)</f>
        <v>0</v>
      </c>
      <c r="R86" s="18">
        <f>K86-D86</f>
        <v>0.125</v>
      </c>
      <c r="S86" s="17">
        <f>IF(R86&gt;0.09,1,0)</f>
        <v>1</v>
      </c>
      <c r="T86" s="17">
        <v>0</v>
      </c>
      <c r="U86" s="17">
        <v>1</v>
      </c>
      <c r="V86" s="17">
        <f>SUM(J86,Q86,S86,T86,U86)</f>
        <v>3</v>
      </c>
      <c r="W86" s="17">
        <v>3</v>
      </c>
      <c r="X86" s="17">
        <v>3</v>
      </c>
      <c r="Y86" s="12">
        <v>0</v>
      </c>
    </row>
    <row r="87" spans="1:25" s="19" customFormat="1" ht="14.25" customHeight="1" x14ac:dyDescent="0.2">
      <c r="A87" s="13">
        <v>70</v>
      </c>
      <c r="B87" s="13">
        <v>120</v>
      </c>
      <c r="C87" s="13">
        <v>82</v>
      </c>
      <c r="D87" s="15">
        <v>1</v>
      </c>
      <c r="E87" s="13">
        <v>19</v>
      </c>
      <c r="F87" s="13">
        <v>0</v>
      </c>
      <c r="G87" s="15">
        <v>19.899999999999999</v>
      </c>
      <c r="H87" s="13">
        <v>80</v>
      </c>
      <c r="I87" s="14">
        <f>H87/A87</f>
        <v>1.1428571428571428</v>
      </c>
      <c r="J87" s="13">
        <v>1</v>
      </c>
      <c r="K87" s="15">
        <v>1</v>
      </c>
      <c r="L87" s="13">
        <v>45</v>
      </c>
      <c r="M87" s="13">
        <v>0</v>
      </c>
      <c r="N87" s="16">
        <v>22.8</v>
      </c>
      <c r="O87" s="14">
        <f>N87/G87</f>
        <v>1.1457286432160805</v>
      </c>
      <c r="P87" s="14">
        <f>N87-G87</f>
        <v>2.9000000000000021</v>
      </c>
      <c r="Q87" s="17">
        <f>IF(F87&lt;2,IF(M87&lt;2,0,1),1)</f>
        <v>0</v>
      </c>
      <c r="R87" s="18">
        <f>K87-D87</f>
        <v>0</v>
      </c>
      <c r="S87" s="17">
        <f>IF(R87&gt;0.09,1,0)</f>
        <v>0</v>
      </c>
      <c r="T87" s="17">
        <v>1</v>
      </c>
      <c r="U87" s="17">
        <v>0</v>
      </c>
      <c r="V87" s="17">
        <f>SUM(J87,Q87,S87,T87,U87)</f>
        <v>2</v>
      </c>
      <c r="W87" s="17">
        <v>2</v>
      </c>
      <c r="X87" s="17">
        <v>2</v>
      </c>
      <c r="Y87" s="12">
        <v>0</v>
      </c>
    </row>
    <row r="88" spans="1:25" s="19" customFormat="1" ht="14.25" customHeight="1" x14ac:dyDescent="0.2">
      <c r="A88" s="13">
        <v>82</v>
      </c>
      <c r="B88" s="13">
        <v>141</v>
      </c>
      <c r="C88" s="13">
        <v>92</v>
      </c>
      <c r="D88" s="15">
        <v>1</v>
      </c>
      <c r="E88" s="13">
        <v>32</v>
      </c>
      <c r="F88" s="13">
        <v>0</v>
      </c>
      <c r="G88" s="15">
        <v>16.5</v>
      </c>
      <c r="H88" s="13">
        <v>140</v>
      </c>
      <c r="I88" s="14">
        <f>H88/A88</f>
        <v>1.7073170731707317</v>
      </c>
      <c r="J88" s="13">
        <v>1</v>
      </c>
      <c r="K88" s="15">
        <v>1</v>
      </c>
      <c r="L88" s="13">
        <v>74</v>
      </c>
      <c r="M88" s="13">
        <v>0</v>
      </c>
      <c r="N88" s="16"/>
      <c r="O88" s="14"/>
      <c r="P88" s="14"/>
      <c r="Q88" s="17">
        <f>IF(F88&lt;2,IF(M88&lt;2,0,1),1)</f>
        <v>0</v>
      </c>
      <c r="R88" s="18">
        <f>K88-D88</f>
        <v>0</v>
      </c>
      <c r="S88" s="17">
        <f>IF(R88&gt;0.09,1,0)</f>
        <v>0</v>
      </c>
      <c r="T88" s="17">
        <v>1</v>
      </c>
      <c r="U88" s="17">
        <v>0</v>
      </c>
      <c r="V88" s="17">
        <f>SUM(J88,Q88,S88,T88,U88)</f>
        <v>2</v>
      </c>
      <c r="W88" s="17">
        <v>2</v>
      </c>
      <c r="X88" s="17">
        <v>2</v>
      </c>
      <c r="Y88" s="12">
        <v>0</v>
      </c>
    </row>
    <row r="89" spans="1:25" s="19" customFormat="1" ht="14.25" customHeight="1" x14ac:dyDescent="0.2">
      <c r="A89" s="13">
        <v>67</v>
      </c>
      <c r="B89" s="13">
        <v>141</v>
      </c>
      <c r="C89" s="13">
        <v>104</v>
      </c>
      <c r="D89" s="15">
        <v>1</v>
      </c>
      <c r="E89" s="13">
        <v>50</v>
      </c>
      <c r="F89" s="13">
        <v>0</v>
      </c>
      <c r="G89" s="15">
        <v>24.4</v>
      </c>
      <c r="H89" s="13">
        <v>120</v>
      </c>
      <c r="I89" s="14">
        <f>H89/A89</f>
        <v>1.791044776119403</v>
      </c>
      <c r="J89" s="13">
        <v>1</v>
      </c>
      <c r="K89" s="15">
        <v>1.24</v>
      </c>
      <c r="L89" s="13">
        <v>79</v>
      </c>
      <c r="M89" s="13">
        <v>2</v>
      </c>
      <c r="N89" s="16">
        <v>13</v>
      </c>
      <c r="O89" s="14">
        <f>N89/G89</f>
        <v>0.53278688524590168</v>
      </c>
      <c r="P89" s="14">
        <f>N89-G89</f>
        <v>-11.399999999999999</v>
      </c>
      <c r="Q89" s="17">
        <f>IF(F89&lt;2,IF(M89&lt;2,0,1),1)</f>
        <v>1</v>
      </c>
      <c r="R89" s="18">
        <f>K89-D89</f>
        <v>0.24</v>
      </c>
      <c r="S89" s="17">
        <f>IF(R89&gt;0.09,1,0)</f>
        <v>1</v>
      </c>
      <c r="T89" s="17">
        <v>1</v>
      </c>
      <c r="U89" s="17">
        <v>1</v>
      </c>
      <c r="V89" s="17">
        <f>SUM(J89,Q89,S89,T89,U89)</f>
        <v>5</v>
      </c>
      <c r="W89" s="17">
        <v>5</v>
      </c>
      <c r="X89" s="17">
        <v>6</v>
      </c>
      <c r="Y89" s="12">
        <v>0</v>
      </c>
    </row>
    <row r="90" spans="1:25" s="19" customFormat="1" ht="14.25" customHeight="1" x14ac:dyDescent="0.2">
      <c r="A90" s="13">
        <v>60</v>
      </c>
      <c r="B90" s="13">
        <v>119</v>
      </c>
      <c r="C90" s="13">
        <v>84</v>
      </c>
      <c r="D90" s="15">
        <v>1.18</v>
      </c>
      <c r="E90" s="13">
        <v>17</v>
      </c>
      <c r="F90" s="13">
        <v>0</v>
      </c>
      <c r="G90" s="15">
        <v>12.8</v>
      </c>
      <c r="H90" s="13">
        <v>73</v>
      </c>
      <c r="I90" s="14">
        <f>H90/A90</f>
        <v>1.2166666666666666</v>
      </c>
      <c r="J90" s="13">
        <v>1</v>
      </c>
      <c r="K90" s="15">
        <v>1.125</v>
      </c>
      <c r="L90" s="13">
        <v>49</v>
      </c>
      <c r="M90" s="13">
        <v>0</v>
      </c>
      <c r="N90" s="16">
        <v>14</v>
      </c>
      <c r="O90" s="14">
        <f>N90/G90</f>
        <v>1.09375</v>
      </c>
      <c r="P90" s="14">
        <f>N90-G90</f>
        <v>1.1999999999999993</v>
      </c>
      <c r="Q90" s="17">
        <f>IF(F90&lt;2,IF(M90&lt;2,0,1),1)</f>
        <v>0</v>
      </c>
      <c r="R90" s="18">
        <f>K90-D90</f>
        <v>-5.4999999999999938E-2</v>
      </c>
      <c r="S90" s="17">
        <f>IF(R90&gt;0.09,1,0)</f>
        <v>0</v>
      </c>
      <c r="T90" s="17">
        <v>0</v>
      </c>
      <c r="U90" s="17">
        <v>0</v>
      </c>
      <c r="V90" s="17">
        <f>SUM(J90,Q90,S90,T90,U90)</f>
        <v>1</v>
      </c>
      <c r="W90" s="17">
        <v>1</v>
      </c>
      <c r="X90" s="17">
        <v>1</v>
      </c>
      <c r="Y90" s="12">
        <v>1</v>
      </c>
    </row>
    <row r="91" spans="1:25" s="19" customFormat="1" ht="14.25" customHeight="1" x14ac:dyDescent="0.2">
      <c r="A91" s="13">
        <v>51</v>
      </c>
      <c r="B91" s="13">
        <v>144</v>
      </c>
      <c r="C91" s="13">
        <v>109</v>
      </c>
      <c r="D91" s="15">
        <v>1</v>
      </c>
      <c r="E91" s="13">
        <v>15</v>
      </c>
      <c r="F91" s="13">
        <v>0</v>
      </c>
      <c r="G91" s="15"/>
      <c r="H91" s="13">
        <v>75</v>
      </c>
      <c r="I91" s="14">
        <f>H91/A91</f>
        <v>1.4705882352941178</v>
      </c>
      <c r="J91" s="13">
        <v>0</v>
      </c>
      <c r="K91" s="15">
        <v>1.125</v>
      </c>
      <c r="L91" s="13">
        <v>47</v>
      </c>
      <c r="M91" s="13">
        <v>0</v>
      </c>
      <c r="N91" s="16"/>
      <c r="O91" s="14"/>
      <c r="P91" s="14"/>
      <c r="Q91" s="17">
        <f>IF(F91&lt;2,IF(M91&lt;2,0,1),1)</f>
        <v>0</v>
      </c>
      <c r="R91" s="18">
        <f>K91-D91</f>
        <v>0.125</v>
      </c>
      <c r="S91" s="17">
        <f>IF(R91&gt;0.09,1,0)</f>
        <v>1</v>
      </c>
      <c r="T91" s="17">
        <v>1</v>
      </c>
      <c r="U91" s="17">
        <v>0</v>
      </c>
      <c r="V91" s="17">
        <f>SUM(J91,Q91,S91,T91,U91)</f>
        <v>2</v>
      </c>
      <c r="W91" s="17">
        <v>3</v>
      </c>
      <c r="X91" s="17">
        <v>3</v>
      </c>
      <c r="Y91" s="12">
        <v>1</v>
      </c>
    </row>
    <row r="92" spans="1:25" s="19" customFormat="1" ht="14.25" customHeight="1" x14ac:dyDescent="0.2">
      <c r="A92" s="13">
        <v>68</v>
      </c>
      <c r="B92" s="13">
        <v>121</v>
      </c>
      <c r="C92" s="13">
        <v>78</v>
      </c>
      <c r="D92" s="15">
        <v>1</v>
      </c>
      <c r="E92" s="13">
        <v>24</v>
      </c>
      <c r="F92" s="13">
        <v>0</v>
      </c>
      <c r="G92" s="15">
        <v>14.6</v>
      </c>
      <c r="H92" s="13">
        <v>90</v>
      </c>
      <c r="I92" s="14">
        <f>H92/A92</f>
        <v>1.3235294117647058</v>
      </c>
      <c r="J92" s="13">
        <v>1</v>
      </c>
      <c r="K92" s="15">
        <v>1</v>
      </c>
      <c r="L92" s="13">
        <v>65</v>
      </c>
      <c r="M92" s="13">
        <v>0</v>
      </c>
      <c r="N92" s="16">
        <v>8.1999999999999993</v>
      </c>
      <c r="O92" s="14">
        <f>N92/G92</f>
        <v>0.56164383561643827</v>
      </c>
      <c r="P92" s="14">
        <f>N92-G92</f>
        <v>-6.4</v>
      </c>
      <c r="Q92" s="17">
        <f>IF(F92&lt;2,IF(M92&lt;2,0,1),1)</f>
        <v>0</v>
      </c>
      <c r="R92" s="18">
        <f>K92-D92</f>
        <v>0</v>
      </c>
      <c r="S92" s="17">
        <f>IF(R92&gt;0.09,1,0)</f>
        <v>0</v>
      </c>
      <c r="T92" s="17">
        <v>0</v>
      </c>
      <c r="U92" s="17">
        <v>0</v>
      </c>
      <c r="V92" s="17">
        <f>SUM(J92,Q92,S92,T92,U92)</f>
        <v>1</v>
      </c>
      <c r="W92" s="17">
        <v>2</v>
      </c>
      <c r="X92" s="17">
        <v>2</v>
      </c>
      <c r="Y92" s="12">
        <v>0</v>
      </c>
    </row>
    <row r="93" spans="1:25" s="19" customFormat="1" ht="14.25" customHeight="1" x14ac:dyDescent="0.2">
      <c r="A93" s="13">
        <v>58</v>
      </c>
      <c r="B93" s="13">
        <v>118</v>
      </c>
      <c r="C93" s="13">
        <v>70</v>
      </c>
      <c r="D93" s="15">
        <v>1.75</v>
      </c>
      <c r="E93" s="13"/>
      <c r="F93" s="13">
        <v>0</v>
      </c>
      <c r="G93" s="15">
        <v>6</v>
      </c>
      <c r="H93" s="13">
        <v>62</v>
      </c>
      <c r="I93" s="14">
        <f>H93/A93</f>
        <v>1.0689655172413792</v>
      </c>
      <c r="J93" s="13">
        <v>1</v>
      </c>
      <c r="K93" s="15">
        <v>1.75</v>
      </c>
      <c r="L93" s="13"/>
      <c r="M93" s="13"/>
      <c r="N93" s="16">
        <v>8</v>
      </c>
      <c r="O93" s="14">
        <f>N93/G93</f>
        <v>1.3333333333333333</v>
      </c>
      <c r="P93" s="14">
        <f>N93-G93</f>
        <v>2</v>
      </c>
      <c r="Q93" s="17"/>
      <c r="R93" s="18">
        <f>K93-D93</f>
        <v>0</v>
      </c>
      <c r="S93" s="17">
        <f>IF(R93&gt;0.09,1,0)</f>
        <v>0</v>
      </c>
      <c r="T93" s="17">
        <v>1</v>
      </c>
      <c r="U93" s="17"/>
      <c r="V93" s="17">
        <f>SUM(J93,Q93,S93,T93,U93)</f>
        <v>2</v>
      </c>
      <c r="W93" s="17">
        <v>2</v>
      </c>
      <c r="X93" s="17">
        <v>2</v>
      </c>
      <c r="Y93" s="12">
        <v>0</v>
      </c>
    </row>
    <row r="94" spans="1:25" s="19" customFormat="1" ht="14.25" customHeight="1" x14ac:dyDescent="0.2">
      <c r="A94" s="13">
        <v>81</v>
      </c>
      <c r="B94" s="13">
        <v>130</v>
      </c>
      <c r="C94" s="13">
        <v>82</v>
      </c>
      <c r="D94" s="15">
        <v>2</v>
      </c>
      <c r="E94" s="13">
        <v>38</v>
      </c>
      <c r="F94" s="13"/>
      <c r="G94" s="15"/>
      <c r="H94" s="13">
        <v>103</v>
      </c>
      <c r="I94" s="14">
        <f>H94/A94</f>
        <v>1.271604938271605</v>
      </c>
      <c r="J94" s="13">
        <v>1</v>
      </c>
      <c r="K94" s="15">
        <v>1.85</v>
      </c>
      <c r="L94" s="13">
        <v>48</v>
      </c>
      <c r="M94" s="13"/>
      <c r="N94" s="16"/>
      <c r="O94" s="14"/>
      <c r="P94" s="14"/>
      <c r="Q94" s="17"/>
      <c r="R94" s="18">
        <f>K94-D94</f>
        <v>-0.14999999999999991</v>
      </c>
      <c r="S94" s="17">
        <f>IF(R94&gt;0.09,1,0)</f>
        <v>0</v>
      </c>
      <c r="T94" s="17">
        <v>1</v>
      </c>
      <c r="U94" s="17">
        <v>1</v>
      </c>
      <c r="V94" s="17">
        <f>SUM(J94,Q94,S94,T94,U94)</f>
        <v>3</v>
      </c>
      <c r="W94" s="17">
        <v>3</v>
      </c>
      <c r="X94" s="17">
        <v>3</v>
      </c>
      <c r="Y94" s="12">
        <v>1</v>
      </c>
    </row>
    <row r="95" spans="1:25" s="19" customFormat="1" ht="14.25" customHeight="1" x14ac:dyDescent="0.2">
      <c r="A95" s="13">
        <v>70</v>
      </c>
      <c r="B95" s="13">
        <v>112</v>
      </c>
      <c r="C95" s="13">
        <v>81</v>
      </c>
      <c r="D95" s="15">
        <v>1</v>
      </c>
      <c r="E95" s="13">
        <v>27</v>
      </c>
      <c r="F95" s="13">
        <v>0</v>
      </c>
      <c r="G95" s="15">
        <v>21.2</v>
      </c>
      <c r="H95" s="13">
        <v>131</v>
      </c>
      <c r="I95" s="14">
        <f>H95/A95</f>
        <v>1.8714285714285714</v>
      </c>
      <c r="J95" s="13">
        <v>0</v>
      </c>
      <c r="K95" s="15">
        <v>1</v>
      </c>
      <c r="L95" s="13">
        <v>54</v>
      </c>
      <c r="M95" s="13">
        <v>0</v>
      </c>
      <c r="N95" s="16">
        <v>25.4</v>
      </c>
      <c r="O95" s="14">
        <f>N95/G95</f>
        <v>1.1981132075471699</v>
      </c>
      <c r="P95" s="14">
        <f>N95-G95</f>
        <v>4.1999999999999993</v>
      </c>
      <c r="Q95" s="17">
        <f>IF(F95&lt;2,IF(M95&lt;2,0,1),1)</f>
        <v>0</v>
      </c>
      <c r="R95" s="18">
        <f>K95-D95</f>
        <v>0</v>
      </c>
      <c r="S95" s="17">
        <f>IF(R95&gt;0.09,1,0)</f>
        <v>0</v>
      </c>
      <c r="T95" s="17">
        <v>1</v>
      </c>
      <c r="U95" s="17">
        <v>1</v>
      </c>
      <c r="V95" s="17">
        <f>SUM(J95,Q95,S95,T95,U95)</f>
        <v>2</v>
      </c>
      <c r="W95" s="17">
        <v>2</v>
      </c>
      <c r="X95" s="17">
        <v>2</v>
      </c>
      <c r="Y95" s="12">
        <v>0</v>
      </c>
    </row>
    <row r="96" spans="1:25" s="19" customFormat="1" ht="14.25" customHeight="1" x14ac:dyDescent="0.2">
      <c r="A96" s="13">
        <v>78</v>
      </c>
      <c r="B96" s="13">
        <v>147</v>
      </c>
      <c r="C96" s="13">
        <v>82</v>
      </c>
      <c r="D96" s="15">
        <v>1</v>
      </c>
      <c r="E96" s="13">
        <v>31</v>
      </c>
      <c r="F96" s="13">
        <v>2</v>
      </c>
      <c r="G96" s="15">
        <v>12.9</v>
      </c>
      <c r="H96" s="13">
        <v>106</v>
      </c>
      <c r="I96" s="14">
        <f>H96/A96</f>
        <v>1.358974358974359</v>
      </c>
      <c r="J96" s="13">
        <v>0</v>
      </c>
      <c r="K96" s="15">
        <v>1</v>
      </c>
      <c r="L96" s="13">
        <v>72</v>
      </c>
      <c r="M96" s="13">
        <v>3</v>
      </c>
      <c r="N96" s="16">
        <v>18</v>
      </c>
      <c r="O96" s="14">
        <f>N96/G96</f>
        <v>1.3953488372093024</v>
      </c>
      <c r="P96" s="14">
        <f>N96-G96</f>
        <v>5.0999999999999996</v>
      </c>
      <c r="Q96" s="17">
        <f>IF(F96&lt;2,IF(M96&lt;2,0,1),1)</f>
        <v>1</v>
      </c>
      <c r="R96" s="18">
        <f>K96-D96</f>
        <v>0</v>
      </c>
      <c r="S96" s="17">
        <f>IF(R96&gt;0.09,1,0)</f>
        <v>0</v>
      </c>
      <c r="T96" s="17">
        <v>1</v>
      </c>
      <c r="U96" s="17">
        <v>0</v>
      </c>
      <c r="V96" s="17">
        <f>SUM(J96,Q96,S96,T96,U96)</f>
        <v>2</v>
      </c>
      <c r="W96" s="17">
        <v>2</v>
      </c>
      <c r="X96" s="17">
        <v>2</v>
      </c>
      <c r="Y96" s="12">
        <v>0</v>
      </c>
    </row>
    <row r="97" spans="1:25" s="19" customFormat="1" ht="14.25" customHeight="1" x14ac:dyDescent="0.2">
      <c r="A97" s="13">
        <v>52</v>
      </c>
      <c r="B97" s="13">
        <v>135</v>
      </c>
      <c r="C97" s="13">
        <v>74</v>
      </c>
      <c r="D97" s="15">
        <v>1</v>
      </c>
      <c r="E97" s="13">
        <v>15</v>
      </c>
      <c r="F97" s="13">
        <v>0</v>
      </c>
      <c r="G97" s="15">
        <v>15.5</v>
      </c>
      <c r="H97" s="13">
        <v>101</v>
      </c>
      <c r="I97" s="14">
        <f>H97/A97</f>
        <v>1.9423076923076923</v>
      </c>
      <c r="J97" s="13">
        <v>0</v>
      </c>
      <c r="K97" s="15">
        <v>1.19</v>
      </c>
      <c r="L97" s="13">
        <v>38</v>
      </c>
      <c r="M97" s="13">
        <v>1</v>
      </c>
      <c r="N97" s="16">
        <v>17.899999999999999</v>
      </c>
      <c r="O97" s="14">
        <f>N97/G97</f>
        <v>1.1548387096774193</v>
      </c>
      <c r="P97" s="14">
        <f>N97-G97</f>
        <v>2.3999999999999986</v>
      </c>
      <c r="Q97" s="17">
        <f>IF(F97&lt;2,IF(M97&lt;2,0,1),1)</f>
        <v>0</v>
      </c>
      <c r="R97" s="18">
        <f>K97-D97</f>
        <v>0.18999999999999995</v>
      </c>
      <c r="S97" s="17">
        <f>IF(R97&gt;0.09,1,0)</f>
        <v>1</v>
      </c>
      <c r="T97" s="17">
        <v>0</v>
      </c>
      <c r="U97" s="17">
        <v>0</v>
      </c>
      <c r="V97" s="17">
        <f>SUM(J97,Q97,S97,T97,U97)</f>
        <v>1</v>
      </c>
      <c r="W97" s="17">
        <v>1</v>
      </c>
      <c r="X97" s="17">
        <v>1</v>
      </c>
      <c r="Y97" s="12">
        <v>1</v>
      </c>
    </row>
    <row r="98" spans="1:25" s="19" customFormat="1" ht="14.25" customHeight="1" x14ac:dyDescent="0.2">
      <c r="A98" s="13">
        <v>59</v>
      </c>
      <c r="B98" s="13">
        <v>132</v>
      </c>
      <c r="C98" s="13">
        <v>70</v>
      </c>
      <c r="D98" s="15">
        <v>1</v>
      </c>
      <c r="E98" s="13">
        <v>17</v>
      </c>
      <c r="F98" s="13">
        <v>0</v>
      </c>
      <c r="G98" s="15">
        <v>19</v>
      </c>
      <c r="H98" s="13">
        <v>71</v>
      </c>
      <c r="I98" s="14">
        <f>H98/A98</f>
        <v>1.2033898305084745</v>
      </c>
      <c r="J98" s="13">
        <v>1</v>
      </c>
      <c r="K98" s="15">
        <v>1</v>
      </c>
      <c r="L98" s="13">
        <v>81</v>
      </c>
      <c r="M98" s="13">
        <v>0</v>
      </c>
      <c r="N98" s="16">
        <v>18.399999999999999</v>
      </c>
      <c r="O98" s="14">
        <f>N98/G98</f>
        <v>0.96842105263157885</v>
      </c>
      <c r="P98" s="14">
        <f>N98-G98</f>
        <v>-0.60000000000000142</v>
      </c>
      <c r="Q98" s="17">
        <f>IF(F98&lt;2,IF(M98&lt;2,0,1),1)</f>
        <v>0</v>
      </c>
      <c r="R98" s="18">
        <f>K98-D98</f>
        <v>0</v>
      </c>
      <c r="S98" s="17">
        <f>IF(R98&gt;0.09,1,0)</f>
        <v>0</v>
      </c>
      <c r="T98" s="17">
        <v>1</v>
      </c>
      <c r="U98" s="17">
        <v>0</v>
      </c>
      <c r="V98" s="17">
        <f>SUM(J98,Q98,S98,T98,U98)</f>
        <v>2</v>
      </c>
      <c r="W98" s="17">
        <v>2</v>
      </c>
      <c r="X98" s="17">
        <v>2</v>
      </c>
      <c r="Y98" s="12">
        <v>0</v>
      </c>
    </row>
    <row r="99" spans="1:25" s="19" customFormat="1" ht="14.25" customHeight="1" x14ac:dyDescent="0.2">
      <c r="A99" s="13">
        <v>73</v>
      </c>
      <c r="B99" s="13">
        <v>139</v>
      </c>
      <c r="C99" s="13">
        <v>74</v>
      </c>
      <c r="D99" s="15">
        <v>1</v>
      </c>
      <c r="E99" s="13">
        <v>31</v>
      </c>
      <c r="F99" s="13">
        <v>0</v>
      </c>
      <c r="G99" s="15">
        <v>20.9</v>
      </c>
      <c r="H99" s="13">
        <v>92</v>
      </c>
      <c r="I99" s="14">
        <f>H99/A99</f>
        <v>1.2602739726027397</v>
      </c>
      <c r="J99" s="13">
        <v>0</v>
      </c>
      <c r="K99" s="15">
        <v>1</v>
      </c>
      <c r="L99" s="13">
        <v>80</v>
      </c>
      <c r="M99" s="13">
        <v>0</v>
      </c>
      <c r="N99" s="16">
        <v>25.4</v>
      </c>
      <c r="O99" s="14">
        <f>N99/G99</f>
        <v>1.2153110047846891</v>
      </c>
      <c r="P99" s="14">
        <f>N99-G99</f>
        <v>4.5</v>
      </c>
      <c r="Q99" s="17">
        <f>IF(F99&lt;2,IF(M99&lt;2,0,1),1)</f>
        <v>0</v>
      </c>
      <c r="R99" s="18">
        <f>K99-D99</f>
        <v>0</v>
      </c>
      <c r="S99" s="17">
        <f>IF(R99&gt;0.09,1,0)</f>
        <v>0</v>
      </c>
      <c r="T99" s="17">
        <v>1</v>
      </c>
      <c r="U99" s="17">
        <v>0</v>
      </c>
      <c r="V99" s="17">
        <f>SUM(J99,Q99,S99,T99,U99)</f>
        <v>1</v>
      </c>
      <c r="W99" s="17">
        <v>1</v>
      </c>
      <c r="X99" s="17">
        <v>1</v>
      </c>
      <c r="Y99" s="12">
        <v>0</v>
      </c>
    </row>
    <row r="100" spans="1:25" s="19" customFormat="1" ht="14.25" customHeight="1" x14ac:dyDescent="0.2">
      <c r="A100" s="13">
        <v>61</v>
      </c>
      <c r="B100" s="13">
        <v>127</v>
      </c>
      <c r="C100" s="13">
        <v>67</v>
      </c>
      <c r="D100" s="15">
        <v>1</v>
      </c>
      <c r="E100" s="13">
        <v>19</v>
      </c>
      <c r="F100" s="13">
        <v>0</v>
      </c>
      <c r="G100" s="15">
        <v>17.600000000000001</v>
      </c>
      <c r="H100" s="13">
        <v>98</v>
      </c>
      <c r="I100" s="14">
        <f>H100/A100</f>
        <v>1.6065573770491803</v>
      </c>
      <c r="J100" s="13">
        <v>0</v>
      </c>
      <c r="K100" s="15">
        <v>1</v>
      </c>
      <c r="L100" s="13">
        <v>29</v>
      </c>
      <c r="M100" s="13">
        <v>0</v>
      </c>
      <c r="N100" s="16">
        <v>21.1</v>
      </c>
      <c r="O100" s="14">
        <f>N100/G100</f>
        <v>1.1988636363636362</v>
      </c>
      <c r="P100" s="14">
        <f>N100-G100</f>
        <v>3.5</v>
      </c>
      <c r="Q100" s="17">
        <f>IF(F100&lt;2,IF(M100&lt;2,0,1),1)</f>
        <v>0</v>
      </c>
      <c r="R100" s="18">
        <f>K100-D100</f>
        <v>0</v>
      </c>
      <c r="S100" s="17">
        <f>IF(R100&gt;0.09,1,0)</f>
        <v>0</v>
      </c>
      <c r="T100" s="17">
        <v>0</v>
      </c>
      <c r="U100" s="17">
        <v>1</v>
      </c>
      <c r="V100" s="17">
        <f>SUM(J100,Q100,S100,T100,U100)</f>
        <v>1</v>
      </c>
      <c r="W100" s="17">
        <v>2</v>
      </c>
      <c r="X100" s="17">
        <v>3</v>
      </c>
      <c r="Y100" s="12">
        <v>0</v>
      </c>
    </row>
    <row r="101" spans="1:25" s="19" customFormat="1" ht="14.25" customHeight="1" x14ac:dyDescent="0.2">
      <c r="A101" s="13">
        <v>70</v>
      </c>
      <c r="B101" s="13">
        <v>154</v>
      </c>
      <c r="C101" s="13">
        <v>78</v>
      </c>
      <c r="D101" s="15">
        <v>1</v>
      </c>
      <c r="E101" s="13">
        <v>41</v>
      </c>
      <c r="F101" s="13">
        <v>0</v>
      </c>
      <c r="G101" s="15"/>
      <c r="H101" s="13">
        <v>82</v>
      </c>
      <c r="I101" s="14">
        <f>H101/A101</f>
        <v>1.1714285714285715</v>
      </c>
      <c r="J101" s="13">
        <v>1</v>
      </c>
      <c r="K101" s="15">
        <v>1.19</v>
      </c>
      <c r="L101" s="13">
        <v>73</v>
      </c>
      <c r="M101" s="13"/>
      <c r="N101" s="16"/>
      <c r="O101" s="14"/>
      <c r="P101" s="14"/>
      <c r="Q101" s="17"/>
      <c r="R101" s="18">
        <f>K101-D101</f>
        <v>0.18999999999999995</v>
      </c>
      <c r="S101" s="17">
        <f>IF(R101&gt;0.09,1,0)</f>
        <v>1</v>
      </c>
      <c r="T101" s="17">
        <v>0</v>
      </c>
      <c r="U101" s="17">
        <v>1</v>
      </c>
      <c r="V101" s="17">
        <f>SUM(J101,Q101,S101,T101,U101)</f>
        <v>3</v>
      </c>
      <c r="W101" s="17">
        <v>4</v>
      </c>
      <c r="X101" s="17">
        <v>4</v>
      </c>
      <c r="Y101" s="12">
        <v>1</v>
      </c>
    </row>
    <row r="102" spans="1:25" s="19" customFormat="1" ht="14.25" customHeight="1" x14ac:dyDescent="0.2">
      <c r="A102" s="13">
        <v>67</v>
      </c>
      <c r="B102" s="13">
        <v>97</v>
      </c>
      <c r="C102" s="13">
        <v>69</v>
      </c>
      <c r="D102" s="15">
        <v>1</v>
      </c>
      <c r="E102" s="13">
        <v>17</v>
      </c>
      <c r="F102" s="13">
        <v>0</v>
      </c>
      <c r="G102" s="15">
        <v>20.399999999999999</v>
      </c>
      <c r="H102" s="13">
        <v>160</v>
      </c>
      <c r="I102" s="14">
        <f>H102/A102</f>
        <v>2.3880597014925371</v>
      </c>
      <c r="J102" s="13">
        <v>0</v>
      </c>
      <c r="K102" s="15">
        <v>1</v>
      </c>
      <c r="L102" s="13">
        <v>39</v>
      </c>
      <c r="M102" s="13">
        <v>1</v>
      </c>
      <c r="N102" s="16">
        <v>20.399999999999999</v>
      </c>
      <c r="O102" s="14">
        <f>N102/G102</f>
        <v>1</v>
      </c>
      <c r="P102" s="14">
        <f>N102-G102</f>
        <v>0</v>
      </c>
      <c r="Q102" s="17">
        <f>IF(F102&lt;2,IF(M102&lt;2,0,1),1)</f>
        <v>0</v>
      </c>
      <c r="R102" s="18">
        <f>K102-D102</f>
        <v>0</v>
      </c>
      <c r="S102" s="17">
        <f>IF(R102&gt;0.09,1,0)</f>
        <v>0</v>
      </c>
      <c r="T102" s="17">
        <v>1</v>
      </c>
      <c r="U102" s="17">
        <v>0</v>
      </c>
      <c r="V102" s="17">
        <f>SUM(J102,Q102,S102,T102,U102)</f>
        <v>1</v>
      </c>
      <c r="W102" s="17">
        <v>1</v>
      </c>
      <c r="X102" s="17">
        <v>1</v>
      </c>
      <c r="Y102" s="12">
        <v>0</v>
      </c>
    </row>
    <row r="103" spans="1:25" s="19" customFormat="1" ht="14.25" customHeight="1" x14ac:dyDescent="0.2">
      <c r="A103" s="13">
        <v>100</v>
      </c>
      <c r="B103" s="13">
        <v>138</v>
      </c>
      <c r="C103" s="13">
        <v>93</v>
      </c>
      <c r="D103" s="15">
        <v>1</v>
      </c>
      <c r="E103" s="13">
        <v>28</v>
      </c>
      <c r="F103" s="13">
        <v>0</v>
      </c>
      <c r="G103" s="15">
        <v>12.6</v>
      </c>
      <c r="H103" s="13">
        <v>160</v>
      </c>
      <c r="I103" s="14">
        <f>H103/A103</f>
        <v>1.6</v>
      </c>
      <c r="J103" s="13">
        <v>1</v>
      </c>
      <c r="K103" s="15">
        <v>1</v>
      </c>
      <c r="L103" s="13">
        <v>58</v>
      </c>
      <c r="M103" s="13">
        <v>0</v>
      </c>
      <c r="N103" s="16">
        <v>4.5999999999999996</v>
      </c>
      <c r="O103" s="14">
        <f>N103/G103</f>
        <v>0.36507936507936506</v>
      </c>
      <c r="P103" s="14">
        <f>N103-G103</f>
        <v>-8</v>
      </c>
      <c r="Q103" s="17">
        <f>IF(F103&lt;2,IF(M103&lt;2,0,1),1)</f>
        <v>0</v>
      </c>
      <c r="R103" s="18">
        <f>K103-D103</f>
        <v>0</v>
      </c>
      <c r="S103" s="17">
        <f>IF(R103&gt;0.09,1,0)</f>
        <v>0</v>
      </c>
      <c r="T103" s="17">
        <v>0</v>
      </c>
      <c r="U103" s="17">
        <v>0</v>
      </c>
      <c r="V103" s="17">
        <f>SUM(J103,Q103,S103,T103,U103)</f>
        <v>1</v>
      </c>
      <c r="W103" s="17">
        <v>1</v>
      </c>
      <c r="X103" s="17">
        <v>1</v>
      </c>
      <c r="Y103" s="12">
        <v>0</v>
      </c>
    </row>
    <row r="104" spans="1:25" s="19" customFormat="1" ht="14.25" customHeight="1" x14ac:dyDescent="0.2">
      <c r="A104" s="13">
        <v>71</v>
      </c>
      <c r="B104" s="13">
        <v>136</v>
      </c>
      <c r="C104" s="13">
        <v>72</v>
      </c>
      <c r="D104" s="15">
        <v>1</v>
      </c>
      <c r="E104" s="13">
        <v>31</v>
      </c>
      <c r="F104" s="13">
        <v>0</v>
      </c>
      <c r="G104" s="15">
        <v>20.7</v>
      </c>
      <c r="H104" s="13">
        <v>95</v>
      </c>
      <c r="I104" s="14">
        <f>H104/A104</f>
        <v>1.3380281690140845</v>
      </c>
      <c r="J104" s="13">
        <v>0</v>
      </c>
      <c r="K104" s="15">
        <v>1</v>
      </c>
      <c r="L104" s="13">
        <v>97</v>
      </c>
      <c r="M104" s="13">
        <v>0</v>
      </c>
      <c r="N104" s="16">
        <v>22.2</v>
      </c>
      <c r="O104" s="14">
        <f>N104/G104</f>
        <v>1.0724637681159421</v>
      </c>
      <c r="P104" s="14">
        <f>N104-G104</f>
        <v>1.5</v>
      </c>
      <c r="Q104" s="17">
        <f>IF(F104&lt;2,IF(M104&lt;2,0,1),1)</f>
        <v>0</v>
      </c>
      <c r="R104" s="18">
        <f>K104-D104</f>
        <v>0</v>
      </c>
      <c r="S104" s="17">
        <f>IF(R104&gt;0.09,1,0)</f>
        <v>0</v>
      </c>
      <c r="T104" s="17">
        <v>0</v>
      </c>
      <c r="U104" s="17">
        <v>0</v>
      </c>
      <c r="V104" s="17">
        <f>SUM(J104,Q104,S104,T104,U104)</f>
        <v>0</v>
      </c>
      <c r="W104" s="17">
        <v>0</v>
      </c>
      <c r="X104" s="17">
        <v>0</v>
      </c>
      <c r="Y104" s="12">
        <v>0</v>
      </c>
    </row>
    <row r="105" spans="1:25" s="19" customFormat="1" ht="14.25" customHeight="1" x14ac:dyDescent="0.2">
      <c r="A105" s="13">
        <v>72</v>
      </c>
      <c r="B105" s="13">
        <v>160</v>
      </c>
      <c r="C105" s="13">
        <v>103</v>
      </c>
      <c r="D105" s="15">
        <v>1</v>
      </c>
      <c r="E105" s="13">
        <v>17</v>
      </c>
      <c r="F105" s="13">
        <v>0</v>
      </c>
      <c r="G105" s="15">
        <v>24.4</v>
      </c>
      <c r="H105" s="13">
        <v>160</v>
      </c>
      <c r="I105" s="14">
        <f>H105/A105</f>
        <v>2.2222222222222223</v>
      </c>
      <c r="J105" s="13">
        <v>0</v>
      </c>
      <c r="K105" s="15">
        <v>1</v>
      </c>
      <c r="L105" s="13">
        <v>49</v>
      </c>
      <c r="M105" s="13">
        <v>0</v>
      </c>
      <c r="N105" s="16">
        <v>16.600000000000001</v>
      </c>
      <c r="O105" s="14">
        <f>N105/G105</f>
        <v>0.68032786885245911</v>
      </c>
      <c r="P105" s="14">
        <f>N105-G105</f>
        <v>-7.7999999999999972</v>
      </c>
      <c r="Q105" s="17">
        <f>IF(F105&lt;2,IF(M105&lt;2,0,1),1)</f>
        <v>0</v>
      </c>
      <c r="R105" s="18">
        <f>K105-D105</f>
        <v>0</v>
      </c>
      <c r="S105" s="17">
        <f>IF(R105&gt;0.09,1,0)</f>
        <v>0</v>
      </c>
      <c r="T105" s="17">
        <v>1</v>
      </c>
      <c r="U105" s="17">
        <v>0</v>
      </c>
      <c r="V105" s="17">
        <f>SUM(J105,Q105,S105,T105,U105)</f>
        <v>1</v>
      </c>
      <c r="W105" s="17">
        <v>1</v>
      </c>
      <c r="X105" s="17">
        <v>1</v>
      </c>
      <c r="Y105" s="12">
        <v>0</v>
      </c>
    </row>
    <row r="106" spans="1:25" s="25" customFormat="1" ht="14.25" customHeight="1" x14ac:dyDescent="0.2">
      <c r="A106" s="21">
        <v>68</v>
      </c>
      <c r="B106" s="21">
        <v>137</v>
      </c>
      <c r="C106" s="21">
        <v>86</v>
      </c>
      <c r="D106" s="22">
        <v>1</v>
      </c>
      <c r="E106" s="21">
        <v>20</v>
      </c>
      <c r="F106" s="21">
        <v>0</v>
      </c>
      <c r="G106" s="22">
        <v>20.6</v>
      </c>
      <c r="H106" s="21">
        <v>101</v>
      </c>
      <c r="I106" s="22">
        <f>H106/A106</f>
        <v>1.4852941176470589</v>
      </c>
      <c r="J106" s="21">
        <v>0</v>
      </c>
      <c r="K106" s="22">
        <v>1.125</v>
      </c>
      <c r="L106" s="21">
        <v>36</v>
      </c>
      <c r="M106" s="21">
        <v>0</v>
      </c>
      <c r="N106" s="23">
        <v>19.100000000000001</v>
      </c>
      <c r="O106" s="22">
        <f>N106/G106</f>
        <v>0.92718446601941751</v>
      </c>
      <c r="P106" s="22">
        <f>N106-G106</f>
        <v>-1.5</v>
      </c>
      <c r="Q106" s="21">
        <f>IF(F106&lt;2,IF(M106&lt;2,0,1),1)</f>
        <v>0</v>
      </c>
      <c r="R106" s="24">
        <f>K106-D106</f>
        <v>0.125</v>
      </c>
      <c r="S106" s="21">
        <f>IF(R106&gt;0.09,1,0)</f>
        <v>1</v>
      </c>
      <c r="T106" s="21">
        <v>1</v>
      </c>
      <c r="U106" s="21">
        <v>1</v>
      </c>
      <c r="V106" s="21">
        <f>SUM(J106,Q106,S106,T106,U106)</f>
        <v>3</v>
      </c>
      <c r="W106" s="21">
        <v>3</v>
      </c>
      <c r="X106" s="21">
        <v>3</v>
      </c>
      <c r="Y106" s="20">
        <v>1</v>
      </c>
    </row>
    <row r="107" spans="1:25" s="19" customFormat="1" ht="14.25" customHeight="1" x14ac:dyDescent="0.2">
      <c r="A107" s="13">
        <v>57</v>
      </c>
      <c r="B107" s="13">
        <v>119</v>
      </c>
      <c r="C107" s="13">
        <v>63</v>
      </c>
      <c r="D107" s="15">
        <v>1</v>
      </c>
      <c r="E107" s="13">
        <v>20</v>
      </c>
      <c r="F107" s="13"/>
      <c r="G107" s="15">
        <v>18.8</v>
      </c>
      <c r="H107" s="13">
        <v>75</v>
      </c>
      <c r="I107" s="14">
        <f>H107/A107</f>
        <v>1.3157894736842106</v>
      </c>
      <c r="J107" s="13">
        <v>1</v>
      </c>
      <c r="K107" s="15">
        <v>1.19</v>
      </c>
      <c r="L107" s="13">
        <v>65</v>
      </c>
      <c r="M107" s="13"/>
      <c r="N107" s="16">
        <v>20.8</v>
      </c>
      <c r="O107" s="14">
        <f>N107/G107</f>
        <v>1.1063829787234043</v>
      </c>
      <c r="P107" s="14">
        <f>N107-G107</f>
        <v>2</v>
      </c>
      <c r="Q107" s="17"/>
      <c r="R107" s="18">
        <f>K107-D107</f>
        <v>0.18999999999999995</v>
      </c>
      <c r="S107" s="17">
        <f>IF(R107&gt;0.09,1,0)</f>
        <v>1</v>
      </c>
      <c r="T107" s="17">
        <v>0</v>
      </c>
      <c r="U107" s="17">
        <v>0</v>
      </c>
      <c r="V107" s="17">
        <f>SUM(J107,Q107,S107,T107,U107)</f>
        <v>2</v>
      </c>
      <c r="W107" s="17">
        <v>2</v>
      </c>
      <c r="X107" s="17">
        <v>3</v>
      </c>
      <c r="Y107" s="12">
        <v>1</v>
      </c>
    </row>
    <row r="108" spans="1:25" s="19" customFormat="1" ht="14.25" customHeight="1" x14ac:dyDescent="0.2">
      <c r="A108" s="13">
        <v>73</v>
      </c>
      <c r="B108" s="13">
        <v>154</v>
      </c>
      <c r="C108" s="13">
        <v>80</v>
      </c>
      <c r="D108" s="15">
        <v>1</v>
      </c>
      <c r="E108" s="13">
        <v>14</v>
      </c>
      <c r="F108" s="13"/>
      <c r="G108" s="15">
        <v>17.600000000000001</v>
      </c>
      <c r="H108" s="13">
        <v>141</v>
      </c>
      <c r="I108" s="14">
        <f>H108/A108</f>
        <v>1.9315068493150684</v>
      </c>
      <c r="J108" s="13">
        <v>0</v>
      </c>
      <c r="K108" s="15">
        <v>1.19</v>
      </c>
      <c r="L108" s="13">
        <v>29</v>
      </c>
      <c r="M108" s="13"/>
      <c r="N108" s="16">
        <v>21.2</v>
      </c>
      <c r="O108" s="14">
        <f>N108/G108</f>
        <v>1.2045454545454544</v>
      </c>
      <c r="P108" s="14">
        <f>N108-G108</f>
        <v>3.5999999999999979</v>
      </c>
      <c r="Q108" s="17"/>
      <c r="R108" s="18">
        <f>K108-D108</f>
        <v>0.18999999999999995</v>
      </c>
      <c r="S108" s="17">
        <f>IF(R108&gt;0.09,1,0)</f>
        <v>1</v>
      </c>
      <c r="T108" s="17">
        <v>1</v>
      </c>
      <c r="U108" s="17">
        <v>0</v>
      </c>
      <c r="V108" s="17">
        <f>SUM(J108,Q108,S108,T108,U108)</f>
        <v>2</v>
      </c>
      <c r="W108" s="17">
        <v>3</v>
      </c>
      <c r="X108" s="17">
        <v>4</v>
      </c>
      <c r="Y108" s="12">
        <v>0</v>
      </c>
    </row>
    <row r="109" spans="1:25" s="19" customFormat="1" ht="14.25" customHeight="1" x14ac:dyDescent="0.2">
      <c r="A109" s="13">
        <v>76</v>
      </c>
      <c r="B109" s="13">
        <v>117</v>
      </c>
      <c r="C109" s="13">
        <v>94</v>
      </c>
      <c r="D109" s="15">
        <v>1</v>
      </c>
      <c r="E109" s="13">
        <v>25</v>
      </c>
      <c r="F109" s="13">
        <v>4</v>
      </c>
      <c r="G109" s="15"/>
      <c r="H109" s="13">
        <v>137</v>
      </c>
      <c r="I109" s="14">
        <f>H109/A109</f>
        <v>1.8026315789473684</v>
      </c>
      <c r="J109" s="13">
        <v>1</v>
      </c>
      <c r="K109" s="15">
        <v>1</v>
      </c>
      <c r="L109" s="13">
        <v>50</v>
      </c>
      <c r="M109" s="13">
        <v>5</v>
      </c>
      <c r="N109" s="16"/>
      <c r="O109" s="14"/>
      <c r="P109" s="14"/>
      <c r="Q109" s="17">
        <f>IF(F109&lt;2,IF(M109&lt;2,0,1),1)</f>
        <v>1</v>
      </c>
      <c r="R109" s="18">
        <f>K109-D109</f>
        <v>0</v>
      </c>
      <c r="S109" s="17">
        <f>IF(R109&gt;0.09,1,0)</f>
        <v>0</v>
      </c>
      <c r="T109" s="17">
        <v>1</v>
      </c>
      <c r="U109" s="17">
        <v>1</v>
      </c>
      <c r="V109" s="17">
        <f>SUM(J109,Q109,S109,T109,U109)</f>
        <v>4</v>
      </c>
      <c r="W109" s="17">
        <v>4</v>
      </c>
      <c r="X109" s="17">
        <v>4</v>
      </c>
      <c r="Y109" s="12">
        <v>1</v>
      </c>
    </row>
    <row r="110" spans="1:25" s="19" customFormat="1" ht="14.25" customHeight="1" x14ac:dyDescent="0.2">
      <c r="A110" s="13">
        <v>67</v>
      </c>
      <c r="B110" s="13">
        <v>123</v>
      </c>
      <c r="C110" s="13">
        <v>77</v>
      </c>
      <c r="D110" s="15">
        <v>1</v>
      </c>
      <c r="E110" s="13">
        <v>19</v>
      </c>
      <c r="F110" s="13">
        <v>0</v>
      </c>
      <c r="G110" s="15">
        <v>20.3</v>
      </c>
      <c r="H110" s="13">
        <v>128</v>
      </c>
      <c r="I110" s="14">
        <f>H110/A110</f>
        <v>1.9104477611940298</v>
      </c>
      <c r="J110" s="13">
        <v>0</v>
      </c>
      <c r="K110" s="15">
        <v>1.125</v>
      </c>
      <c r="L110" s="13">
        <v>45</v>
      </c>
      <c r="M110" s="13">
        <v>1</v>
      </c>
      <c r="N110" s="16">
        <v>21.4</v>
      </c>
      <c r="O110" s="14">
        <f>N110/G110</f>
        <v>1.0541871921182264</v>
      </c>
      <c r="P110" s="14">
        <f>N110-G110</f>
        <v>1.0999999999999979</v>
      </c>
      <c r="Q110" s="17">
        <f>IF(F110&lt;2,IF(M110&lt;2,0,1),1)</f>
        <v>0</v>
      </c>
      <c r="R110" s="18">
        <f>K110-D110</f>
        <v>0.125</v>
      </c>
      <c r="S110" s="17">
        <f>IF(R110&gt;0.09,1,0)</f>
        <v>1</v>
      </c>
      <c r="T110" s="17">
        <v>1</v>
      </c>
      <c r="U110" s="17">
        <v>0</v>
      </c>
      <c r="V110" s="17">
        <f>SUM(J110,Q110,S110,T110,U110)</f>
        <v>2</v>
      </c>
      <c r="W110" s="17">
        <v>3</v>
      </c>
      <c r="X110" s="17">
        <v>3</v>
      </c>
      <c r="Y110" s="12">
        <v>0</v>
      </c>
    </row>
    <row r="111" spans="1:25" s="19" customFormat="1" ht="14.25" customHeight="1" x14ac:dyDescent="0.2">
      <c r="A111" s="13">
        <v>49</v>
      </c>
      <c r="B111" s="13">
        <v>117</v>
      </c>
      <c r="C111" s="13">
        <v>72</v>
      </c>
      <c r="D111" s="15">
        <v>1</v>
      </c>
      <c r="E111" s="13">
        <v>42</v>
      </c>
      <c r="F111" s="13">
        <v>1</v>
      </c>
      <c r="G111" s="15">
        <v>22.3</v>
      </c>
      <c r="H111" s="13">
        <v>126</v>
      </c>
      <c r="I111" s="14">
        <f>H111/A111</f>
        <v>2.5714285714285716</v>
      </c>
      <c r="J111" s="13">
        <v>0</v>
      </c>
      <c r="K111" s="15">
        <v>1.19</v>
      </c>
      <c r="L111" s="13">
        <v>70</v>
      </c>
      <c r="M111" s="13">
        <v>0</v>
      </c>
      <c r="N111" s="16">
        <v>17.2</v>
      </c>
      <c r="O111" s="14">
        <f>N111/G111</f>
        <v>0.77130044843049317</v>
      </c>
      <c r="P111" s="14">
        <f>N111-G111</f>
        <v>-5.1000000000000014</v>
      </c>
      <c r="Q111" s="17">
        <f>IF(F111&lt;2,IF(M111&lt;2,0,1),1)</f>
        <v>0</v>
      </c>
      <c r="R111" s="18">
        <f>K111-D111</f>
        <v>0.18999999999999995</v>
      </c>
      <c r="S111" s="17">
        <f>IF(R111&gt;0.09,1,0)</f>
        <v>1</v>
      </c>
      <c r="T111" s="17">
        <v>1</v>
      </c>
      <c r="U111" s="17">
        <v>1</v>
      </c>
      <c r="V111" s="17">
        <f>SUM(J111,Q111,S111,T111,U111)</f>
        <v>3</v>
      </c>
      <c r="W111" s="17">
        <v>3</v>
      </c>
      <c r="X111" s="17">
        <v>4</v>
      </c>
      <c r="Y111" s="12">
        <v>0</v>
      </c>
    </row>
    <row r="112" spans="1:25" s="19" customFormat="1" ht="14.25" customHeight="1" x14ac:dyDescent="0.2">
      <c r="A112" s="13">
        <v>55</v>
      </c>
      <c r="B112" s="13">
        <v>138</v>
      </c>
      <c r="C112" s="13">
        <v>88</v>
      </c>
      <c r="D112" s="15">
        <v>1</v>
      </c>
      <c r="E112" s="13">
        <v>18</v>
      </c>
      <c r="F112" s="13">
        <v>0</v>
      </c>
      <c r="G112" s="15">
        <v>20.100000000000001</v>
      </c>
      <c r="H112" s="13">
        <v>100</v>
      </c>
      <c r="I112" s="14">
        <f>H112/A112</f>
        <v>1.8181818181818181</v>
      </c>
      <c r="J112" s="13">
        <v>0</v>
      </c>
      <c r="K112" s="15">
        <v>1.24</v>
      </c>
      <c r="L112" s="13">
        <v>36</v>
      </c>
      <c r="M112" s="13">
        <v>0</v>
      </c>
      <c r="N112" s="16">
        <v>19.7</v>
      </c>
      <c r="O112" s="14">
        <f>N112/G112</f>
        <v>0.98009950248756206</v>
      </c>
      <c r="P112" s="14">
        <f>N112-G112</f>
        <v>-0.40000000000000213</v>
      </c>
      <c r="Q112" s="17">
        <f>IF(F112&lt;2,IF(M112&lt;2,0,1),1)</f>
        <v>0</v>
      </c>
      <c r="R112" s="18">
        <f>K112-D112</f>
        <v>0.24</v>
      </c>
      <c r="S112" s="17">
        <f>IF(R112&gt;0.09,1,0)</f>
        <v>1</v>
      </c>
      <c r="T112" s="17">
        <v>1</v>
      </c>
      <c r="U112" s="17">
        <v>1</v>
      </c>
      <c r="V112" s="17">
        <f>SUM(J112,Q112,S112,T112,U112)</f>
        <v>3</v>
      </c>
      <c r="W112" s="17">
        <v>4</v>
      </c>
      <c r="X112" s="17">
        <v>4</v>
      </c>
      <c r="Y112" s="12">
        <v>0</v>
      </c>
    </row>
    <row r="113" spans="1:25" s="19" customFormat="1" ht="14.25" customHeight="1" x14ac:dyDescent="0.2">
      <c r="A113" s="13">
        <v>89</v>
      </c>
      <c r="B113" s="13">
        <v>127</v>
      </c>
      <c r="C113" s="13">
        <v>78</v>
      </c>
      <c r="D113" s="15">
        <v>1.19</v>
      </c>
      <c r="E113" s="13">
        <v>16</v>
      </c>
      <c r="F113" s="13">
        <v>0</v>
      </c>
      <c r="G113" s="15">
        <v>9.8000000000000007</v>
      </c>
      <c r="H113" s="13">
        <v>127</v>
      </c>
      <c r="I113" s="14">
        <f>H113/A113</f>
        <v>1.4269662921348314</v>
      </c>
      <c r="J113" s="13">
        <v>1</v>
      </c>
      <c r="K113" s="15">
        <v>1.25</v>
      </c>
      <c r="L113" s="13">
        <v>34</v>
      </c>
      <c r="M113" s="13">
        <v>7</v>
      </c>
      <c r="N113" s="16">
        <v>10.9</v>
      </c>
      <c r="O113" s="14">
        <f>N113/G113</f>
        <v>1.1122448979591837</v>
      </c>
      <c r="P113" s="14">
        <f>N113-G113</f>
        <v>1.0999999999999996</v>
      </c>
      <c r="Q113" s="17">
        <f>IF(F113&lt;2,IF(M113&lt;2,0,1),1)</f>
        <v>1</v>
      </c>
      <c r="R113" s="18">
        <f>K113-D113</f>
        <v>6.0000000000000053E-2</v>
      </c>
      <c r="S113" s="17">
        <f>IF(R113&gt;0.09,1,0)</f>
        <v>0</v>
      </c>
      <c r="T113" s="17">
        <v>1</v>
      </c>
      <c r="U113" s="17">
        <v>0</v>
      </c>
      <c r="V113" s="17">
        <f>SUM(J113,Q113,S113,T113,U113)</f>
        <v>3</v>
      </c>
      <c r="W113" s="17">
        <v>3</v>
      </c>
      <c r="X113" s="17">
        <v>3</v>
      </c>
      <c r="Y113" s="12">
        <v>0</v>
      </c>
    </row>
    <row r="114" spans="1:25" s="19" customFormat="1" ht="14.25" customHeight="1" x14ac:dyDescent="0.2">
      <c r="A114" s="13">
        <v>82</v>
      </c>
      <c r="B114" s="13">
        <v>151</v>
      </c>
      <c r="C114" s="13">
        <v>78</v>
      </c>
      <c r="D114" s="15">
        <v>1</v>
      </c>
      <c r="E114" s="13">
        <v>35</v>
      </c>
      <c r="F114" s="13">
        <v>0</v>
      </c>
      <c r="G114" s="15">
        <v>22.6</v>
      </c>
      <c r="H114" s="13">
        <v>133</v>
      </c>
      <c r="I114" s="14">
        <f>H114/A114</f>
        <v>1.6219512195121952</v>
      </c>
      <c r="J114" s="13">
        <v>1</v>
      </c>
      <c r="K114" s="15">
        <v>1</v>
      </c>
      <c r="L114" s="13">
        <v>58</v>
      </c>
      <c r="M114" s="13">
        <v>0</v>
      </c>
      <c r="N114" s="16">
        <v>21.2</v>
      </c>
      <c r="O114" s="14">
        <f>N114/G114</f>
        <v>0.93805309734513265</v>
      </c>
      <c r="P114" s="14">
        <f>N114-G114</f>
        <v>-1.4000000000000021</v>
      </c>
      <c r="Q114" s="17">
        <f>IF(F114&lt;2,IF(M114&lt;2,0,1),1)</f>
        <v>0</v>
      </c>
      <c r="R114" s="18">
        <f>K114-D114</f>
        <v>0</v>
      </c>
      <c r="S114" s="17">
        <f>IF(R114&gt;0.09,1,0)</f>
        <v>0</v>
      </c>
      <c r="T114" s="17">
        <v>1</v>
      </c>
      <c r="U114" s="17">
        <v>1</v>
      </c>
      <c r="V114" s="17">
        <f>SUM(J114,Q114,S114,T114,U114)</f>
        <v>3</v>
      </c>
      <c r="W114" s="17">
        <v>3</v>
      </c>
      <c r="X114" s="17">
        <v>3</v>
      </c>
      <c r="Y114" s="12">
        <v>0</v>
      </c>
    </row>
    <row r="115" spans="1:25" s="19" customFormat="1" ht="14.25" customHeight="1" x14ac:dyDescent="0.2">
      <c r="A115" s="13">
        <v>55</v>
      </c>
      <c r="B115" s="13">
        <v>127</v>
      </c>
      <c r="C115" s="13">
        <v>87</v>
      </c>
      <c r="D115" s="15">
        <v>1</v>
      </c>
      <c r="E115" s="13">
        <v>16</v>
      </c>
      <c r="F115" s="13">
        <v>0</v>
      </c>
      <c r="G115" s="15">
        <v>19</v>
      </c>
      <c r="H115" s="13">
        <v>75</v>
      </c>
      <c r="I115" s="14">
        <f>H115/A115</f>
        <v>1.3636363636363635</v>
      </c>
      <c r="J115" s="13">
        <v>0</v>
      </c>
      <c r="K115" s="15">
        <v>1</v>
      </c>
      <c r="L115" s="13">
        <v>42</v>
      </c>
      <c r="M115" s="13">
        <v>1</v>
      </c>
      <c r="N115" s="16"/>
      <c r="O115" s="14"/>
      <c r="P115" s="14"/>
      <c r="Q115" s="17">
        <f>IF(F115&lt;2,IF(M115&lt;2,0,1),1)</f>
        <v>0</v>
      </c>
      <c r="R115" s="18">
        <f>K115-D115</f>
        <v>0</v>
      </c>
      <c r="S115" s="17">
        <f>IF(R115&gt;0.09,1,0)</f>
        <v>0</v>
      </c>
      <c r="T115" s="17">
        <v>1</v>
      </c>
      <c r="U115" s="17">
        <v>0</v>
      </c>
      <c r="V115" s="17">
        <f>SUM(J115,Q115,S115,T115,U115)</f>
        <v>1</v>
      </c>
      <c r="W115" s="17">
        <v>1</v>
      </c>
      <c r="X115" s="17">
        <v>1</v>
      </c>
      <c r="Y115" s="12">
        <v>0</v>
      </c>
    </row>
    <row r="116" spans="1:25" s="19" customFormat="1" ht="14.25" customHeight="1" x14ac:dyDescent="0.2">
      <c r="A116" s="13">
        <v>74</v>
      </c>
      <c r="B116" s="13">
        <v>125</v>
      </c>
      <c r="C116" s="13">
        <v>85</v>
      </c>
      <c r="D116" s="15">
        <v>1</v>
      </c>
      <c r="E116" s="13"/>
      <c r="F116" s="13">
        <v>0</v>
      </c>
      <c r="G116" s="15">
        <v>18.8</v>
      </c>
      <c r="H116" s="13">
        <v>146</v>
      </c>
      <c r="I116" s="14">
        <f>H116/A116</f>
        <v>1.972972972972973</v>
      </c>
      <c r="J116" s="13">
        <v>0</v>
      </c>
      <c r="K116" s="15">
        <v>1</v>
      </c>
      <c r="L116" s="13"/>
      <c r="M116" s="13">
        <v>3</v>
      </c>
      <c r="N116" s="16">
        <v>20.9</v>
      </c>
      <c r="O116" s="14">
        <f>N116/G116</f>
        <v>1.1117021276595744</v>
      </c>
      <c r="P116" s="14">
        <f>N116-G116</f>
        <v>2.0999999999999979</v>
      </c>
      <c r="Q116" s="17">
        <f>IF(F116&lt;2,IF(M116&lt;2,0,1),1)</f>
        <v>1</v>
      </c>
      <c r="R116" s="18">
        <f>K116-D116</f>
        <v>0</v>
      </c>
      <c r="S116" s="17">
        <f>IF(R116&gt;0.09,1,0)</f>
        <v>0</v>
      </c>
      <c r="T116" s="17">
        <v>0</v>
      </c>
      <c r="U116" s="17"/>
      <c r="V116" s="17">
        <f>SUM(J116,Q116,S116,T116,U116)</f>
        <v>1</v>
      </c>
      <c r="W116" s="17">
        <v>1</v>
      </c>
      <c r="X116" s="17">
        <v>2</v>
      </c>
      <c r="Y116" s="12">
        <v>0</v>
      </c>
    </row>
    <row r="117" spans="1:25" s="19" customFormat="1" ht="14.25" customHeight="1" x14ac:dyDescent="0.2">
      <c r="A117" s="13">
        <v>59</v>
      </c>
      <c r="B117" s="13">
        <v>120</v>
      </c>
      <c r="C117" s="13">
        <v>81</v>
      </c>
      <c r="D117" s="15">
        <v>1</v>
      </c>
      <c r="E117" s="13">
        <v>28</v>
      </c>
      <c r="F117" s="13">
        <v>0</v>
      </c>
      <c r="G117" s="15">
        <v>18.5</v>
      </c>
      <c r="H117" s="13">
        <v>87</v>
      </c>
      <c r="I117" s="14">
        <f>H117/A117</f>
        <v>1.4745762711864407</v>
      </c>
      <c r="J117" s="13">
        <v>1</v>
      </c>
      <c r="K117" s="15">
        <v>1.18</v>
      </c>
      <c r="L117" s="13">
        <v>49</v>
      </c>
      <c r="M117" s="13">
        <v>0</v>
      </c>
      <c r="N117" s="16">
        <v>21.7</v>
      </c>
      <c r="O117" s="14">
        <f>N117/G117</f>
        <v>1.172972972972973</v>
      </c>
      <c r="P117" s="14">
        <f>N117-G117</f>
        <v>3.1999999999999993</v>
      </c>
      <c r="Q117" s="17">
        <f>IF(F117&lt;2,IF(M117&lt;2,0,1),1)</f>
        <v>0</v>
      </c>
      <c r="R117" s="18">
        <f>K117-D117</f>
        <v>0.17999999999999994</v>
      </c>
      <c r="S117" s="17">
        <f>IF(R117&gt;0.09,1,0)</f>
        <v>1</v>
      </c>
      <c r="T117" s="17">
        <v>1</v>
      </c>
      <c r="U117" s="17">
        <v>1</v>
      </c>
      <c r="V117" s="17">
        <f>SUM(J117,Q117,S117,T117,U117)</f>
        <v>4</v>
      </c>
      <c r="W117" s="17">
        <v>5</v>
      </c>
      <c r="X117" s="17">
        <v>5</v>
      </c>
      <c r="Y117" s="12">
        <v>0</v>
      </c>
    </row>
    <row r="118" spans="1:25" s="19" customFormat="1" ht="14.25" customHeight="1" x14ac:dyDescent="0.2">
      <c r="A118" s="13">
        <v>85</v>
      </c>
      <c r="B118" s="13">
        <v>128</v>
      </c>
      <c r="C118" s="13">
        <v>87</v>
      </c>
      <c r="D118" s="15">
        <v>1</v>
      </c>
      <c r="E118" s="13">
        <v>30</v>
      </c>
      <c r="F118" s="13">
        <v>12</v>
      </c>
      <c r="G118" s="15">
        <v>15.7</v>
      </c>
      <c r="H118" s="13">
        <v>125</v>
      </c>
      <c r="I118" s="14">
        <f>H118/A118</f>
        <v>1.4705882352941178</v>
      </c>
      <c r="J118" s="13">
        <v>1</v>
      </c>
      <c r="K118" s="15">
        <v>1</v>
      </c>
      <c r="L118" s="13">
        <v>48</v>
      </c>
      <c r="M118" s="13">
        <v>7</v>
      </c>
      <c r="N118" s="16">
        <v>16.3</v>
      </c>
      <c r="O118" s="14">
        <f>N118/G118</f>
        <v>1.0382165605095541</v>
      </c>
      <c r="P118" s="14">
        <f>N118-G118</f>
        <v>0.60000000000000142</v>
      </c>
      <c r="Q118" s="17">
        <f>IF(F118&lt;2,IF(M118&lt;2,0,1),1)</f>
        <v>1</v>
      </c>
      <c r="R118" s="18">
        <f>K118-D118</f>
        <v>0</v>
      </c>
      <c r="S118" s="17">
        <f>IF(R118&gt;0.09,1,0)</f>
        <v>0</v>
      </c>
      <c r="T118" s="17">
        <v>0</v>
      </c>
      <c r="U118" s="17">
        <v>1</v>
      </c>
      <c r="V118" s="17">
        <f>SUM(J118,Q118,S118,T118,U118)</f>
        <v>3</v>
      </c>
      <c r="W118" s="17">
        <v>3</v>
      </c>
      <c r="X118" s="17">
        <v>3</v>
      </c>
      <c r="Y118" s="12">
        <v>1</v>
      </c>
    </row>
    <row r="119" spans="1:25" s="19" customFormat="1" ht="14.25" customHeight="1" x14ac:dyDescent="0.2">
      <c r="A119" s="13">
        <v>55</v>
      </c>
      <c r="B119" s="13">
        <v>98</v>
      </c>
      <c r="C119" s="13">
        <v>67</v>
      </c>
      <c r="D119" s="15">
        <v>1</v>
      </c>
      <c r="E119" s="13"/>
      <c r="F119" s="13">
        <v>0</v>
      </c>
      <c r="G119" s="15">
        <v>17.8</v>
      </c>
      <c r="H119" s="13">
        <v>110</v>
      </c>
      <c r="I119" s="14">
        <f>H119/A119</f>
        <v>2</v>
      </c>
      <c r="J119" s="13">
        <v>0</v>
      </c>
      <c r="K119" s="15">
        <v>1.18</v>
      </c>
      <c r="L119" s="13"/>
      <c r="M119" s="13">
        <v>3</v>
      </c>
      <c r="N119" s="16">
        <v>16.5</v>
      </c>
      <c r="O119" s="14">
        <f>N119/G119</f>
        <v>0.92696629213483139</v>
      </c>
      <c r="P119" s="14">
        <f>N119-G119</f>
        <v>-1.3000000000000007</v>
      </c>
      <c r="Q119" s="17">
        <f>IF(F119&lt;2,IF(M119&lt;2,0,1),1)</f>
        <v>1</v>
      </c>
      <c r="R119" s="18">
        <f>K119-D119</f>
        <v>0.17999999999999994</v>
      </c>
      <c r="S119" s="17">
        <f>IF(R119&gt;0.09,1,0)</f>
        <v>1</v>
      </c>
      <c r="T119" s="17">
        <v>0</v>
      </c>
      <c r="U119" s="17"/>
      <c r="V119" s="17">
        <f>SUM(J119,Q119,S119,T119,U119)</f>
        <v>2</v>
      </c>
      <c r="W119" s="17">
        <v>3</v>
      </c>
      <c r="X119" s="17">
        <v>3</v>
      </c>
      <c r="Y119" s="12">
        <v>1</v>
      </c>
    </row>
    <row r="120" spans="1:25" s="19" customFormat="1" ht="14.25" customHeight="1" x14ac:dyDescent="0.2">
      <c r="A120" s="13">
        <v>92</v>
      </c>
      <c r="B120" s="13">
        <v>98</v>
      </c>
      <c r="C120" s="13">
        <v>74</v>
      </c>
      <c r="D120" s="15">
        <v>1</v>
      </c>
      <c r="E120" s="13">
        <v>38</v>
      </c>
      <c r="F120" s="13">
        <v>0</v>
      </c>
      <c r="G120" s="15">
        <v>22.4</v>
      </c>
      <c r="H120" s="13">
        <v>129</v>
      </c>
      <c r="I120" s="14">
        <f>H120/A120</f>
        <v>1.4021739130434783</v>
      </c>
      <c r="J120" s="13">
        <v>1</v>
      </c>
      <c r="K120" s="15">
        <v>1.125</v>
      </c>
      <c r="L120" s="13">
        <v>61</v>
      </c>
      <c r="M120" s="13">
        <v>2</v>
      </c>
      <c r="N120" s="16">
        <v>17.399999999999999</v>
      </c>
      <c r="O120" s="14">
        <f>N120/G120</f>
        <v>0.7767857142857143</v>
      </c>
      <c r="P120" s="14">
        <f>N120-G120</f>
        <v>-5</v>
      </c>
      <c r="Q120" s="17">
        <f>IF(F120&lt;2,IF(M120&lt;2,0,1),1)</f>
        <v>1</v>
      </c>
      <c r="R120" s="18">
        <f>K120-D120</f>
        <v>0.125</v>
      </c>
      <c r="S120" s="17">
        <f>IF(R120&gt;0.09,1,0)</f>
        <v>1</v>
      </c>
      <c r="T120" s="17">
        <v>1</v>
      </c>
      <c r="U120" s="17">
        <v>1</v>
      </c>
      <c r="V120" s="17">
        <f>SUM(J120,Q120,S120,T120,U120)</f>
        <v>5</v>
      </c>
      <c r="W120" s="17">
        <v>6</v>
      </c>
      <c r="X120" s="17">
        <v>7</v>
      </c>
      <c r="Y120" s="12">
        <v>1</v>
      </c>
    </row>
    <row r="121" spans="1:25" s="19" customFormat="1" ht="14.25" customHeight="1" x14ac:dyDescent="0.2">
      <c r="A121" s="13">
        <v>65</v>
      </c>
      <c r="B121" s="13">
        <v>103</v>
      </c>
      <c r="C121" s="13">
        <v>80</v>
      </c>
      <c r="D121" s="15">
        <v>1</v>
      </c>
      <c r="E121" s="13">
        <v>21</v>
      </c>
      <c r="F121" s="13">
        <v>0</v>
      </c>
      <c r="G121" s="15">
        <v>13.1</v>
      </c>
      <c r="H121" s="13">
        <v>96</v>
      </c>
      <c r="I121" s="14">
        <f>H121/A121</f>
        <v>1.476923076923077</v>
      </c>
      <c r="J121" s="13">
        <v>1</v>
      </c>
      <c r="K121" s="15">
        <v>1.19</v>
      </c>
      <c r="L121" s="13">
        <v>37</v>
      </c>
      <c r="M121" s="13">
        <v>0</v>
      </c>
      <c r="N121" s="16">
        <v>16.399999999999999</v>
      </c>
      <c r="O121" s="14">
        <f>N121/G121</f>
        <v>1.2519083969465647</v>
      </c>
      <c r="P121" s="14">
        <f>N121-G121</f>
        <v>3.2999999999999989</v>
      </c>
      <c r="Q121" s="17">
        <f>IF(F121&lt;2,IF(M121&lt;2,0,1),1)</f>
        <v>0</v>
      </c>
      <c r="R121" s="18">
        <f>K121-D121</f>
        <v>0.18999999999999995</v>
      </c>
      <c r="S121" s="17">
        <f>IF(R121&gt;0.09,1,0)</f>
        <v>1</v>
      </c>
      <c r="T121" s="17">
        <v>1</v>
      </c>
      <c r="U121" s="17">
        <v>1</v>
      </c>
      <c r="V121" s="17">
        <f>SUM(J121,Q121,S121,T121,U121)</f>
        <v>4</v>
      </c>
      <c r="W121" s="17">
        <v>5</v>
      </c>
      <c r="X121" s="17">
        <v>5</v>
      </c>
      <c r="Y121" s="12">
        <v>0</v>
      </c>
    </row>
    <row r="122" spans="1:25" s="19" customFormat="1" ht="14.25" customHeight="1" x14ac:dyDescent="0.2">
      <c r="A122" s="13">
        <v>82</v>
      </c>
      <c r="B122" s="13">
        <v>128</v>
      </c>
      <c r="C122" s="13">
        <v>98</v>
      </c>
      <c r="D122" s="15">
        <v>1</v>
      </c>
      <c r="E122" s="13">
        <v>21</v>
      </c>
      <c r="F122" s="13">
        <v>0</v>
      </c>
      <c r="G122" s="15"/>
      <c r="H122" s="13">
        <v>131</v>
      </c>
      <c r="I122" s="14">
        <f>H122/A122</f>
        <v>1.5975609756097562</v>
      </c>
      <c r="J122" s="13">
        <v>1</v>
      </c>
      <c r="K122" s="15">
        <v>1</v>
      </c>
      <c r="L122" s="13">
        <v>48</v>
      </c>
      <c r="M122" s="13">
        <v>1</v>
      </c>
      <c r="N122" s="16"/>
      <c r="O122" s="14"/>
      <c r="P122" s="14"/>
      <c r="Q122" s="17">
        <f>IF(F122&lt;2,IF(M122&lt;2,0,1),1)</f>
        <v>0</v>
      </c>
      <c r="R122" s="18">
        <f>K122-D122</f>
        <v>0</v>
      </c>
      <c r="S122" s="17">
        <f>IF(R122&gt;0.09,1,0)</f>
        <v>0</v>
      </c>
      <c r="T122" s="17">
        <v>1</v>
      </c>
      <c r="U122" s="17">
        <v>0</v>
      </c>
      <c r="V122" s="17">
        <f>SUM(J122,Q122,S122,T122,U122)</f>
        <v>2</v>
      </c>
      <c r="W122" s="17">
        <v>3</v>
      </c>
      <c r="X122" s="17">
        <v>3</v>
      </c>
      <c r="Y122" s="12">
        <v>1</v>
      </c>
    </row>
    <row r="123" spans="1:25" s="19" customFormat="1" ht="14.25" customHeight="1" x14ac:dyDescent="0.2">
      <c r="A123" s="13">
        <v>65</v>
      </c>
      <c r="B123" s="13">
        <v>122</v>
      </c>
      <c r="C123" s="13">
        <v>85</v>
      </c>
      <c r="D123" s="15">
        <v>1</v>
      </c>
      <c r="E123" s="13">
        <v>23</v>
      </c>
      <c r="F123" s="13">
        <v>0</v>
      </c>
      <c r="G123" s="15">
        <v>15</v>
      </c>
      <c r="H123" s="13">
        <v>129</v>
      </c>
      <c r="I123" s="14">
        <f>H123/A123</f>
        <v>1.9846153846153847</v>
      </c>
      <c r="J123" s="13">
        <v>0</v>
      </c>
      <c r="K123" s="15">
        <v>1.125</v>
      </c>
      <c r="L123" s="13">
        <v>42</v>
      </c>
      <c r="M123" s="13">
        <v>1</v>
      </c>
      <c r="N123" s="16">
        <v>19.399999999999999</v>
      </c>
      <c r="O123" s="14">
        <f>N123/G123</f>
        <v>1.2933333333333332</v>
      </c>
      <c r="P123" s="14">
        <f>N123-G123</f>
        <v>4.3999999999999986</v>
      </c>
      <c r="Q123" s="17">
        <f>IF(F123&lt;2,IF(M123&lt;2,0,1),1)</f>
        <v>0</v>
      </c>
      <c r="R123" s="18">
        <f>K123-D123</f>
        <v>0.125</v>
      </c>
      <c r="S123" s="17">
        <f>IF(R123&gt;0.09,1,0)</f>
        <v>1</v>
      </c>
      <c r="T123" s="17">
        <v>1</v>
      </c>
      <c r="U123" s="17">
        <v>1</v>
      </c>
      <c r="V123" s="17">
        <f>SUM(J123,Q123,S123,T123,U123)</f>
        <v>3</v>
      </c>
      <c r="W123" s="17">
        <v>3</v>
      </c>
      <c r="X123" s="17">
        <v>4</v>
      </c>
      <c r="Y123" s="12">
        <v>1</v>
      </c>
    </row>
    <row r="124" spans="1:25" s="19" customFormat="1" ht="14.25" customHeight="1" x14ac:dyDescent="0.2">
      <c r="A124" s="13">
        <v>55</v>
      </c>
      <c r="B124" s="13">
        <v>125</v>
      </c>
      <c r="C124" s="13">
        <v>89</v>
      </c>
      <c r="D124" s="15">
        <v>1</v>
      </c>
      <c r="E124" s="13">
        <v>24</v>
      </c>
      <c r="F124" s="13">
        <v>0</v>
      </c>
      <c r="G124" s="15">
        <v>17.100000000000001</v>
      </c>
      <c r="H124" s="13">
        <v>99</v>
      </c>
      <c r="I124" s="14">
        <f>H124/A124</f>
        <v>1.8</v>
      </c>
      <c r="J124" s="13">
        <v>1</v>
      </c>
      <c r="K124" s="15">
        <v>1.18</v>
      </c>
      <c r="L124" s="13">
        <v>38</v>
      </c>
      <c r="M124" s="13">
        <v>0</v>
      </c>
      <c r="N124" s="16">
        <v>19.5</v>
      </c>
      <c r="O124" s="14">
        <f>N124/G124</f>
        <v>1.1403508771929824</v>
      </c>
      <c r="P124" s="14">
        <f>N124-G124</f>
        <v>2.3999999999999986</v>
      </c>
      <c r="Q124" s="17">
        <f>IF(F124&lt;2,IF(M124&lt;2,0,1),1)</f>
        <v>0</v>
      </c>
      <c r="R124" s="18">
        <f>K124-D124</f>
        <v>0.17999999999999994</v>
      </c>
      <c r="S124" s="17">
        <f>IF(R124&gt;0.09,1,0)</f>
        <v>1</v>
      </c>
      <c r="T124" s="17">
        <v>1</v>
      </c>
      <c r="U124" s="17">
        <v>1</v>
      </c>
      <c r="V124" s="17">
        <f>SUM(J124,Q124,S124,T124,U124)</f>
        <v>4</v>
      </c>
      <c r="W124" s="17">
        <v>5</v>
      </c>
      <c r="X124" s="17">
        <v>5</v>
      </c>
      <c r="Y124" s="12">
        <v>1</v>
      </c>
    </row>
    <row r="125" spans="1:25" s="19" customFormat="1" ht="14.25" customHeight="1" x14ac:dyDescent="0.2">
      <c r="A125" s="13">
        <v>52</v>
      </c>
      <c r="B125" s="13">
        <v>100</v>
      </c>
      <c r="C125" s="13">
        <v>70</v>
      </c>
      <c r="D125" s="15">
        <v>1</v>
      </c>
      <c r="E125" s="13">
        <v>19</v>
      </c>
      <c r="F125" s="13">
        <v>5</v>
      </c>
      <c r="G125" s="15">
        <v>14.9</v>
      </c>
      <c r="H125" s="13">
        <v>112</v>
      </c>
      <c r="I125" s="14">
        <f>H125/A125</f>
        <v>2.1538461538461537</v>
      </c>
      <c r="J125" s="13">
        <v>0</v>
      </c>
      <c r="K125" s="15">
        <v>1.125</v>
      </c>
      <c r="L125" s="13">
        <v>61</v>
      </c>
      <c r="M125" s="13">
        <v>8</v>
      </c>
      <c r="N125" s="16">
        <v>19.600000000000001</v>
      </c>
      <c r="O125" s="14">
        <f>N125/G125</f>
        <v>1.3154362416107384</v>
      </c>
      <c r="P125" s="14">
        <f>N125-G125</f>
        <v>4.7000000000000011</v>
      </c>
      <c r="Q125" s="17">
        <f>IF(F125&lt;2,IF(M125&lt;2,0,1),1)</f>
        <v>1</v>
      </c>
      <c r="R125" s="18">
        <f>K125-D125</f>
        <v>0.125</v>
      </c>
      <c r="S125" s="17">
        <f>IF(R125&gt;0.09,1,0)</f>
        <v>1</v>
      </c>
      <c r="T125" s="17">
        <v>1</v>
      </c>
      <c r="U125" s="17">
        <v>0</v>
      </c>
      <c r="V125" s="17">
        <f>SUM(J125,Q125,S125,T125,U125)</f>
        <v>3</v>
      </c>
      <c r="W125" s="17">
        <v>4</v>
      </c>
      <c r="X125" s="17">
        <v>4</v>
      </c>
      <c r="Y125" s="12">
        <v>1</v>
      </c>
    </row>
    <row r="126" spans="1:25" s="19" customFormat="1" ht="14.25" customHeight="1" x14ac:dyDescent="0.2">
      <c r="A126" s="13">
        <v>65</v>
      </c>
      <c r="B126" s="13">
        <v>116</v>
      </c>
      <c r="C126" s="13">
        <v>61</v>
      </c>
      <c r="D126" s="15">
        <v>1</v>
      </c>
      <c r="E126" s="13">
        <v>12</v>
      </c>
      <c r="F126" s="13">
        <v>0</v>
      </c>
      <c r="G126" s="15">
        <v>20.3</v>
      </c>
      <c r="H126" s="13">
        <v>98</v>
      </c>
      <c r="I126" s="14">
        <f>H126/A126</f>
        <v>1.5076923076923077</v>
      </c>
      <c r="J126" s="13">
        <v>1</v>
      </c>
      <c r="K126" s="15">
        <v>1.06</v>
      </c>
      <c r="L126" s="13">
        <v>29</v>
      </c>
      <c r="M126" s="13">
        <v>0</v>
      </c>
      <c r="N126" s="16">
        <v>23.4</v>
      </c>
      <c r="O126" s="14">
        <f>N126/G126</f>
        <v>1.1527093596059113</v>
      </c>
      <c r="P126" s="14">
        <f>N126-G126</f>
        <v>3.0999999999999979</v>
      </c>
      <c r="Q126" s="17">
        <f>IF(F126&lt;2,IF(M126&lt;2,0,1),1)</f>
        <v>0</v>
      </c>
      <c r="R126" s="18">
        <f>K126-D126</f>
        <v>6.0000000000000053E-2</v>
      </c>
      <c r="S126" s="17">
        <f>IF(R126&gt;0.09,1,0)</f>
        <v>0</v>
      </c>
      <c r="T126" s="17">
        <v>1</v>
      </c>
      <c r="U126" s="17">
        <v>0</v>
      </c>
      <c r="V126" s="17">
        <f>SUM(J126,Q126,S126,T126,U126)</f>
        <v>2</v>
      </c>
      <c r="W126" s="17">
        <v>3</v>
      </c>
      <c r="X126" s="17">
        <v>3</v>
      </c>
      <c r="Y126" s="12">
        <v>1</v>
      </c>
    </row>
    <row r="127" spans="1:25" s="19" customFormat="1" ht="14.25" customHeight="1" x14ac:dyDescent="0.2">
      <c r="A127" s="13">
        <v>60</v>
      </c>
      <c r="B127" s="13">
        <v>117</v>
      </c>
      <c r="C127" s="13">
        <v>80</v>
      </c>
      <c r="D127" s="15">
        <v>1</v>
      </c>
      <c r="E127" s="13">
        <v>57</v>
      </c>
      <c r="F127" s="13">
        <v>2</v>
      </c>
      <c r="G127" s="15">
        <v>18.100000000000001</v>
      </c>
      <c r="H127" s="13">
        <v>101</v>
      </c>
      <c r="I127" s="14">
        <f>H127/A127</f>
        <v>1.6833333333333333</v>
      </c>
      <c r="J127" s="13">
        <v>1</v>
      </c>
      <c r="K127" s="15">
        <v>1.125</v>
      </c>
      <c r="L127" s="13">
        <v>89</v>
      </c>
      <c r="M127" s="13">
        <v>7</v>
      </c>
      <c r="N127" s="16">
        <v>25.1</v>
      </c>
      <c r="O127" s="14">
        <f>N127/G127</f>
        <v>1.3867403314917126</v>
      </c>
      <c r="P127" s="14">
        <f>N127-G127</f>
        <v>7</v>
      </c>
      <c r="Q127" s="17">
        <f>IF(F127&lt;2,IF(M127&lt;2,0,1),1)</f>
        <v>1</v>
      </c>
      <c r="R127" s="18">
        <f>K127-D127</f>
        <v>0.125</v>
      </c>
      <c r="S127" s="17">
        <f>IF(R127&gt;0.09,1,0)</f>
        <v>1</v>
      </c>
      <c r="T127" s="17">
        <v>1</v>
      </c>
      <c r="U127" s="17">
        <v>1</v>
      </c>
      <c r="V127" s="17">
        <f>SUM(J127,Q127,S127,T127,U127)</f>
        <v>5</v>
      </c>
      <c r="W127" s="17">
        <v>6</v>
      </c>
      <c r="X127" s="17">
        <v>6</v>
      </c>
      <c r="Y127" s="12"/>
    </row>
    <row r="128" spans="1:25" s="19" customFormat="1" ht="14.25" customHeight="1" x14ac:dyDescent="0.2">
      <c r="A128" s="13">
        <v>69</v>
      </c>
      <c r="B128" s="13">
        <v>126</v>
      </c>
      <c r="C128" s="13">
        <v>81</v>
      </c>
      <c r="D128" s="15">
        <v>1</v>
      </c>
      <c r="E128" s="13">
        <v>25</v>
      </c>
      <c r="F128" s="13">
        <v>1</v>
      </c>
      <c r="G128" s="15"/>
      <c r="H128" s="13">
        <v>136</v>
      </c>
      <c r="I128" s="14">
        <f>H128/A128</f>
        <v>1.9710144927536233</v>
      </c>
      <c r="J128" s="13">
        <v>0</v>
      </c>
      <c r="K128" s="15">
        <v>1</v>
      </c>
      <c r="L128" s="13">
        <v>34</v>
      </c>
      <c r="M128" s="13">
        <v>0</v>
      </c>
      <c r="N128" s="16"/>
      <c r="O128" s="14"/>
      <c r="P128" s="14"/>
      <c r="Q128" s="17">
        <f>IF(F128&lt;2,IF(M128&lt;2,0,1),1)</f>
        <v>0</v>
      </c>
      <c r="R128" s="18">
        <f>K128-D128</f>
        <v>0</v>
      </c>
      <c r="S128" s="17">
        <f>IF(R128&gt;0.09,1,0)</f>
        <v>0</v>
      </c>
      <c r="T128" s="17">
        <v>0</v>
      </c>
      <c r="U128" s="17">
        <v>1</v>
      </c>
      <c r="V128" s="17">
        <f>SUM(J128,Q128,S128,T128,U128)</f>
        <v>1</v>
      </c>
      <c r="W128" s="17">
        <v>1</v>
      </c>
      <c r="X128" s="17">
        <v>2</v>
      </c>
      <c r="Y128" s="19">
        <v>0</v>
      </c>
    </row>
    <row r="129" spans="1:25" s="19" customFormat="1" ht="14.25" customHeight="1" x14ac:dyDescent="0.2">
      <c r="A129" s="13">
        <v>62</v>
      </c>
      <c r="B129" s="13">
        <v>165</v>
      </c>
      <c r="C129" s="13">
        <v>95</v>
      </c>
      <c r="D129" s="15">
        <v>1.19</v>
      </c>
      <c r="E129" s="13">
        <v>26</v>
      </c>
      <c r="F129" s="13">
        <v>1</v>
      </c>
      <c r="G129" s="15">
        <v>17.5</v>
      </c>
      <c r="H129" s="13">
        <v>136</v>
      </c>
      <c r="I129" s="14">
        <f>H129/A129</f>
        <v>2.193548387096774</v>
      </c>
      <c r="J129" s="13">
        <v>0</v>
      </c>
      <c r="K129" s="15">
        <v>1</v>
      </c>
      <c r="L129" s="13">
        <v>56</v>
      </c>
      <c r="M129" s="13">
        <v>3</v>
      </c>
      <c r="N129" s="16">
        <v>22.6</v>
      </c>
      <c r="O129" s="14">
        <f>N129/G129</f>
        <v>1.2914285714285716</v>
      </c>
      <c r="P129" s="14">
        <f>N129-G129</f>
        <v>5.1000000000000014</v>
      </c>
      <c r="Q129" s="17">
        <f>IF(F129&lt;2,IF(M129&lt;2,0,1),1)</f>
        <v>1</v>
      </c>
      <c r="R129" s="18">
        <f>K129-D129</f>
        <v>-0.18999999999999995</v>
      </c>
      <c r="S129" s="17">
        <v>1</v>
      </c>
      <c r="T129" s="17">
        <v>1</v>
      </c>
      <c r="U129" s="17">
        <v>0</v>
      </c>
      <c r="V129" s="17">
        <f>SUM(J129,Q129,S129,T129,U129)</f>
        <v>3</v>
      </c>
      <c r="W129" s="17">
        <v>3</v>
      </c>
      <c r="X129" s="17">
        <v>3</v>
      </c>
      <c r="Y129" s="12">
        <v>0</v>
      </c>
    </row>
    <row r="130" spans="1:25" s="19" customFormat="1" ht="14.25" customHeight="1" x14ac:dyDescent="0.2">
      <c r="A130" s="13">
        <v>64</v>
      </c>
      <c r="B130" s="13">
        <v>131</v>
      </c>
      <c r="C130" s="13">
        <v>89</v>
      </c>
      <c r="D130" s="15">
        <v>1.125</v>
      </c>
      <c r="E130" s="13">
        <v>19</v>
      </c>
      <c r="F130" s="13">
        <v>0</v>
      </c>
      <c r="G130" s="15"/>
      <c r="H130" s="13">
        <v>103</v>
      </c>
      <c r="I130" s="14">
        <f>H130/A130</f>
        <v>1.609375</v>
      </c>
      <c r="J130" s="13">
        <v>1</v>
      </c>
      <c r="K130" s="15">
        <v>1.25</v>
      </c>
      <c r="L130" s="13">
        <v>28</v>
      </c>
      <c r="M130" s="13">
        <v>0</v>
      </c>
      <c r="N130" s="16"/>
      <c r="O130" s="14"/>
      <c r="P130" s="14"/>
      <c r="Q130" s="17">
        <f>IF(F130&lt;2,IF(M130&lt;2,0,1),1)</f>
        <v>0</v>
      </c>
      <c r="R130" s="18">
        <f>K130-D130</f>
        <v>0.125</v>
      </c>
      <c r="S130" s="17">
        <f>IF(R130&gt;0.09,1,0)</f>
        <v>1</v>
      </c>
      <c r="T130" s="17">
        <v>1</v>
      </c>
      <c r="U130" s="17">
        <v>1</v>
      </c>
      <c r="V130" s="17">
        <f>SUM(J130,Q130,S130,T130,U130)</f>
        <v>4</v>
      </c>
      <c r="W130" s="17">
        <v>5</v>
      </c>
      <c r="X130" s="17">
        <v>6</v>
      </c>
      <c r="Y130" s="12">
        <v>1</v>
      </c>
    </row>
    <row r="131" spans="1:25" s="19" customFormat="1" ht="14.25" customHeight="1" x14ac:dyDescent="0.2">
      <c r="A131" s="13">
        <v>61</v>
      </c>
      <c r="B131" s="13">
        <v>107</v>
      </c>
      <c r="C131" s="13">
        <v>63</v>
      </c>
      <c r="D131" s="15">
        <v>1.19</v>
      </c>
      <c r="E131" s="13">
        <v>24</v>
      </c>
      <c r="F131" s="13">
        <v>0</v>
      </c>
      <c r="G131" s="15"/>
      <c r="H131" s="13">
        <v>102</v>
      </c>
      <c r="I131" s="14">
        <f>H131/A131</f>
        <v>1.6721311475409837</v>
      </c>
      <c r="J131" s="13">
        <v>1</v>
      </c>
      <c r="K131" s="15">
        <v>1.375</v>
      </c>
      <c r="L131" s="13">
        <v>35</v>
      </c>
      <c r="M131" s="13">
        <v>0</v>
      </c>
      <c r="N131" s="16"/>
      <c r="O131" s="14"/>
      <c r="P131" s="14"/>
      <c r="Q131" s="17">
        <f>IF(F131&lt;2,IF(M131&lt;2,0,1),1)</f>
        <v>0</v>
      </c>
      <c r="R131" s="18">
        <f>K131-D131</f>
        <v>0.18500000000000005</v>
      </c>
      <c r="S131" s="17">
        <f>IF(R131&gt;0.09,1,0)</f>
        <v>1</v>
      </c>
      <c r="T131" s="17">
        <v>1</v>
      </c>
      <c r="U131" s="17">
        <v>1</v>
      </c>
      <c r="V131" s="17">
        <f>SUM(J131,Q131,S131,T131,U131)</f>
        <v>4</v>
      </c>
      <c r="W131" s="17">
        <v>5</v>
      </c>
      <c r="X131" s="17">
        <v>6</v>
      </c>
      <c r="Y131" s="19">
        <v>0</v>
      </c>
    </row>
    <row r="132" spans="1:25" s="19" customFormat="1" ht="14.25" customHeight="1" x14ac:dyDescent="0.2">
      <c r="A132" s="13">
        <v>80</v>
      </c>
      <c r="B132" s="13">
        <v>137</v>
      </c>
      <c r="C132" s="13">
        <v>97</v>
      </c>
      <c r="D132" s="15">
        <v>1</v>
      </c>
      <c r="E132" s="13">
        <v>28</v>
      </c>
      <c r="F132" s="13">
        <v>1</v>
      </c>
      <c r="G132" s="15"/>
      <c r="H132" s="13">
        <v>135</v>
      </c>
      <c r="I132" s="14">
        <f>H132/A132</f>
        <v>1.6875</v>
      </c>
      <c r="J132" s="13">
        <v>1</v>
      </c>
      <c r="K132" s="15">
        <v>1</v>
      </c>
      <c r="L132" s="13">
        <v>62</v>
      </c>
      <c r="M132" s="13">
        <v>0</v>
      </c>
      <c r="N132" s="16"/>
      <c r="O132" s="14"/>
      <c r="P132" s="14"/>
      <c r="Q132" s="17">
        <f>IF(F132&lt;2,IF(M132&lt;2,0,1),1)</f>
        <v>0</v>
      </c>
      <c r="R132" s="18">
        <f>K132-D132</f>
        <v>0</v>
      </c>
      <c r="S132" s="17">
        <f>IF(R132&gt;0.09,1,0)</f>
        <v>0</v>
      </c>
      <c r="T132" s="17">
        <v>1</v>
      </c>
      <c r="U132" s="17">
        <v>0</v>
      </c>
      <c r="V132" s="17">
        <f>SUM(J132,Q132,S132,T132,U132)</f>
        <v>2</v>
      </c>
      <c r="W132" s="17">
        <v>2</v>
      </c>
      <c r="X132" s="17">
        <v>2</v>
      </c>
      <c r="Y132" s="12">
        <v>0</v>
      </c>
    </row>
    <row r="133" spans="1:25" s="19" customFormat="1" ht="14.25" customHeight="1" x14ac:dyDescent="0.2">
      <c r="A133" s="13">
        <v>73</v>
      </c>
      <c r="B133" s="13">
        <v>119</v>
      </c>
      <c r="C133" s="13">
        <v>69</v>
      </c>
      <c r="D133" s="15">
        <v>1</v>
      </c>
      <c r="E133" s="13"/>
      <c r="F133" s="13">
        <v>0</v>
      </c>
      <c r="G133" s="15">
        <v>16</v>
      </c>
      <c r="H133" s="13">
        <v>118</v>
      </c>
      <c r="I133" s="14">
        <f>H133/A133</f>
        <v>1.6164383561643836</v>
      </c>
      <c r="J133" s="13">
        <v>1</v>
      </c>
      <c r="K133" s="15">
        <v>1.24</v>
      </c>
      <c r="L133" s="13"/>
      <c r="M133" s="13">
        <v>3</v>
      </c>
      <c r="N133" s="16">
        <v>16.5</v>
      </c>
      <c r="O133" s="14">
        <f>N133/G133</f>
        <v>1.03125</v>
      </c>
      <c r="P133" s="14">
        <f>N133-G133</f>
        <v>0.5</v>
      </c>
      <c r="Q133" s="17">
        <f>IF(F133&lt;2,IF(M133&lt;2,0,1),1)</f>
        <v>1</v>
      </c>
      <c r="R133" s="18">
        <f>K133-D133</f>
        <v>0.24</v>
      </c>
      <c r="S133" s="17">
        <f>IF(R133&gt;0.09,1,0)</f>
        <v>1</v>
      </c>
      <c r="T133" s="17">
        <v>1</v>
      </c>
      <c r="U133" s="17"/>
      <c r="V133" s="17">
        <f>SUM(J133,Q133,S133,T133,U133)</f>
        <v>4</v>
      </c>
      <c r="W133" s="17">
        <v>5</v>
      </c>
      <c r="X133" s="17">
        <v>6</v>
      </c>
      <c r="Y133" s="12">
        <v>0</v>
      </c>
    </row>
    <row r="134" spans="1:25" s="19" customFormat="1" ht="14.25" customHeight="1" x14ac:dyDescent="0.2">
      <c r="A134" s="13">
        <v>60</v>
      </c>
      <c r="B134" s="13">
        <v>121</v>
      </c>
      <c r="C134" s="13">
        <v>61</v>
      </c>
      <c r="D134" s="15">
        <v>1</v>
      </c>
      <c r="E134" s="13"/>
      <c r="F134" s="13">
        <v>2</v>
      </c>
      <c r="G134" s="15">
        <v>15</v>
      </c>
      <c r="H134" s="13">
        <v>100</v>
      </c>
      <c r="I134" s="14">
        <f>H134/A134</f>
        <v>1.6666666666666667</v>
      </c>
      <c r="J134" s="13">
        <v>1</v>
      </c>
      <c r="K134" s="15">
        <v>1</v>
      </c>
      <c r="L134" s="13"/>
      <c r="M134" s="13">
        <v>1</v>
      </c>
      <c r="N134" s="16">
        <v>15</v>
      </c>
      <c r="O134" s="14">
        <f>N134/G134</f>
        <v>1</v>
      </c>
      <c r="P134" s="14">
        <f>N134-G134</f>
        <v>0</v>
      </c>
      <c r="Q134" s="17">
        <f>IF(F134&lt;2,IF(M134&lt;2,0,1),1)</f>
        <v>1</v>
      </c>
      <c r="R134" s="18">
        <f>K134-D134</f>
        <v>0</v>
      </c>
      <c r="S134" s="17">
        <f>IF(R134&gt;0.09,1,0)</f>
        <v>0</v>
      </c>
      <c r="T134" s="17">
        <v>1</v>
      </c>
      <c r="U134" s="17"/>
      <c r="V134" s="17">
        <f>SUM(J134,Q134,S134,T134,U134)</f>
        <v>3</v>
      </c>
      <c r="W134" s="17">
        <v>4</v>
      </c>
      <c r="X134" s="17">
        <v>5</v>
      </c>
      <c r="Y134" s="12">
        <v>1</v>
      </c>
    </row>
    <row r="135" spans="1:25" s="19" customFormat="1" ht="14.25" customHeight="1" x14ac:dyDescent="0.2">
      <c r="A135" s="13">
        <v>56</v>
      </c>
      <c r="B135" s="13">
        <v>128</v>
      </c>
      <c r="C135" s="13">
        <v>88</v>
      </c>
      <c r="D135" s="15">
        <v>1.44</v>
      </c>
      <c r="E135" s="13"/>
      <c r="F135" s="13">
        <v>0</v>
      </c>
      <c r="G135" s="15">
        <v>13</v>
      </c>
      <c r="H135" s="13">
        <v>100</v>
      </c>
      <c r="I135" s="14">
        <f>H135/A135</f>
        <v>1.7857142857142858</v>
      </c>
      <c r="J135" s="13">
        <v>1</v>
      </c>
      <c r="K135" s="15">
        <v>1.44</v>
      </c>
      <c r="L135" s="13"/>
      <c r="M135" s="13">
        <v>4</v>
      </c>
      <c r="N135" s="16">
        <v>17</v>
      </c>
      <c r="O135" s="14">
        <f>N135/G135</f>
        <v>1.3076923076923077</v>
      </c>
      <c r="P135" s="14">
        <f>N135-G135</f>
        <v>4</v>
      </c>
      <c r="Q135" s="17">
        <f>IF(F135&lt;2,IF(M135&lt;2,0,1),1)</f>
        <v>1</v>
      </c>
      <c r="R135" s="18">
        <f>K135-D135</f>
        <v>0</v>
      </c>
      <c r="S135" s="17">
        <f>IF(R135&gt;0.09,1,0)</f>
        <v>0</v>
      </c>
      <c r="T135" s="17">
        <v>0</v>
      </c>
      <c r="U135" s="17"/>
      <c r="V135" s="17">
        <f>SUM(J135,Q135,S135,T135,U135)</f>
        <v>2</v>
      </c>
      <c r="W135" s="17">
        <v>3</v>
      </c>
      <c r="X135" s="17">
        <v>3</v>
      </c>
      <c r="Y135" s="12">
        <v>0</v>
      </c>
    </row>
    <row r="136" spans="1:25" s="19" customFormat="1" ht="14.25" customHeight="1" x14ac:dyDescent="0.2">
      <c r="A136" s="13">
        <v>75</v>
      </c>
      <c r="B136" s="13">
        <v>122</v>
      </c>
      <c r="C136" s="13">
        <v>82</v>
      </c>
      <c r="D136" s="15">
        <v>1</v>
      </c>
      <c r="E136" s="13"/>
      <c r="F136" s="13">
        <v>0</v>
      </c>
      <c r="G136" s="15">
        <v>12.9</v>
      </c>
      <c r="H136" s="13">
        <v>133</v>
      </c>
      <c r="I136" s="14">
        <f>H136/A136</f>
        <v>1.7733333333333334</v>
      </c>
      <c r="J136" s="13">
        <v>1</v>
      </c>
      <c r="K136" s="15">
        <v>1</v>
      </c>
      <c r="L136" s="13"/>
      <c r="M136" s="13">
        <v>0</v>
      </c>
      <c r="N136" s="16">
        <v>13.8</v>
      </c>
      <c r="O136" s="14">
        <f>N136/G136</f>
        <v>1.0697674418604652</v>
      </c>
      <c r="P136" s="14">
        <f>N136-G136</f>
        <v>0.90000000000000036</v>
      </c>
      <c r="Q136" s="17">
        <f>IF(F136&lt;2,IF(M136&lt;2,0,1),1)</f>
        <v>0</v>
      </c>
      <c r="R136" s="18">
        <f>K136-D136</f>
        <v>0</v>
      </c>
      <c r="S136" s="17">
        <f>IF(R136&gt;0.09,1,0)</f>
        <v>0</v>
      </c>
      <c r="T136" s="17">
        <v>0</v>
      </c>
      <c r="U136" s="17"/>
      <c r="V136" s="17">
        <f>SUM(J136,Q136,S136,T136,U136)</f>
        <v>1</v>
      </c>
      <c r="W136" s="17">
        <v>1</v>
      </c>
      <c r="X136" s="17">
        <v>2</v>
      </c>
      <c r="Y136" s="12">
        <v>0</v>
      </c>
    </row>
    <row r="137" spans="1:25" s="19" customFormat="1" ht="14.25" customHeight="1" x14ac:dyDescent="0.2">
      <c r="A137" s="13">
        <v>64</v>
      </c>
      <c r="B137" s="13">
        <v>126</v>
      </c>
      <c r="C137" s="13">
        <v>80</v>
      </c>
      <c r="D137" s="15">
        <v>1</v>
      </c>
      <c r="E137" s="13"/>
      <c r="F137" s="13">
        <v>1</v>
      </c>
      <c r="G137" s="15">
        <v>17</v>
      </c>
      <c r="H137" s="13">
        <v>115</v>
      </c>
      <c r="I137" s="14">
        <f>H137/A137</f>
        <v>1.796875</v>
      </c>
      <c r="J137" s="13">
        <v>1</v>
      </c>
      <c r="K137" s="15">
        <v>1</v>
      </c>
      <c r="L137" s="13"/>
      <c r="M137" s="13">
        <v>5</v>
      </c>
      <c r="N137" s="16">
        <v>21</v>
      </c>
      <c r="O137" s="14">
        <f>N137/G137</f>
        <v>1.2352941176470589</v>
      </c>
      <c r="P137" s="14">
        <f>N137-G137</f>
        <v>4</v>
      </c>
      <c r="Q137" s="17">
        <f>IF(F137&lt;2,IF(M137&lt;2,0,1),1)</f>
        <v>1</v>
      </c>
      <c r="R137" s="18">
        <f>K137-D137</f>
        <v>0</v>
      </c>
      <c r="S137" s="17">
        <f>IF(R137&gt;0.09,1,0)</f>
        <v>0</v>
      </c>
      <c r="T137" s="17">
        <v>0</v>
      </c>
      <c r="U137" s="17"/>
      <c r="V137" s="17">
        <f>SUM(J137,Q137,S137,T137,U137)</f>
        <v>2</v>
      </c>
      <c r="W137" s="17">
        <v>2</v>
      </c>
      <c r="X137" s="17">
        <v>3</v>
      </c>
      <c r="Y137" s="12">
        <v>0</v>
      </c>
    </row>
    <row r="138" spans="1:25" s="19" customFormat="1" ht="14.25" customHeight="1" x14ac:dyDescent="0.2">
      <c r="A138" s="13">
        <v>59</v>
      </c>
      <c r="B138" s="13">
        <v>116</v>
      </c>
      <c r="C138" s="13">
        <v>63</v>
      </c>
      <c r="D138" s="15">
        <v>1</v>
      </c>
      <c r="E138" s="13"/>
      <c r="F138" s="13">
        <v>4</v>
      </c>
      <c r="G138" s="15">
        <v>17.7</v>
      </c>
      <c r="H138" s="13">
        <v>125</v>
      </c>
      <c r="I138" s="14">
        <f>H138/A138</f>
        <v>2.1186440677966103</v>
      </c>
      <c r="J138" s="13">
        <v>0</v>
      </c>
      <c r="K138" s="15">
        <v>1.19</v>
      </c>
      <c r="L138" s="13"/>
      <c r="M138" s="13">
        <v>3</v>
      </c>
      <c r="N138" s="16">
        <v>19.7</v>
      </c>
      <c r="O138" s="14">
        <f>N138/G138</f>
        <v>1.1129943502824859</v>
      </c>
      <c r="P138" s="14">
        <f>N138-G138</f>
        <v>2</v>
      </c>
      <c r="Q138" s="17">
        <f>IF(F138&lt;2,IF(M138&lt;2,0,1),1)</f>
        <v>1</v>
      </c>
      <c r="R138" s="18">
        <f>K138-D138</f>
        <v>0.18999999999999995</v>
      </c>
      <c r="S138" s="17">
        <f>IF(R138&gt;0.09,1,0)</f>
        <v>1</v>
      </c>
      <c r="T138" s="17">
        <v>0</v>
      </c>
      <c r="U138" s="17"/>
      <c r="V138" s="17">
        <f>SUM(J138,Q138,S138,T138,U138)</f>
        <v>2</v>
      </c>
      <c r="W138" s="17">
        <v>2</v>
      </c>
      <c r="X138" s="17">
        <v>3</v>
      </c>
      <c r="Y138" s="12">
        <v>0</v>
      </c>
    </row>
    <row r="139" spans="1:25" s="19" customFormat="1" ht="14.25" customHeight="1" x14ac:dyDescent="0.2">
      <c r="A139" s="13">
        <v>54</v>
      </c>
      <c r="B139" s="13">
        <v>126</v>
      </c>
      <c r="C139" s="13">
        <v>75</v>
      </c>
      <c r="D139" s="15">
        <v>1.1200000000000001</v>
      </c>
      <c r="E139" s="13"/>
      <c r="F139" s="13">
        <v>5</v>
      </c>
      <c r="G139" s="15">
        <v>11.5</v>
      </c>
      <c r="H139" s="13">
        <v>113</v>
      </c>
      <c r="I139" s="14">
        <f>H139/A139</f>
        <v>2.0925925925925926</v>
      </c>
      <c r="J139" s="13">
        <v>0</v>
      </c>
      <c r="K139" s="15">
        <v>1.1200000000000001</v>
      </c>
      <c r="L139" s="13"/>
      <c r="M139" s="13">
        <v>8</v>
      </c>
      <c r="N139" s="16">
        <v>19.3</v>
      </c>
      <c r="O139" s="14">
        <f>N139/G139</f>
        <v>1.6782608695652175</v>
      </c>
      <c r="P139" s="14">
        <f>N139-G139</f>
        <v>7.8000000000000007</v>
      </c>
      <c r="Q139" s="17">
        <f>IF(F139&lt;2,IF(M139&lt;2,0,1),1)</f>
        <v>1</v>
      </c>
      <c r="R139" s="18">
        <f>K139-D139</f>
        <v>0</v>
      </c>
      <c r="S139" s="17">
        <f>IF(R139&gt;0.09,1,0)</f>
        <v>0</v>
      </c>
      <c r="T139" s="17">
        <v>1</v>
      </c>
      <c r="U139" s="17"/>
      <c r="V139" s="17">
        <f>SUM(J139,Q139,S139,T139,U139)</f>
        <v>2</v>
      </c>
      <c r="W139" s="17">
        <v>3</v>
      </c>
      <c r="X139" s="17">
        <v>4</v>
      </c>
      <c r="Y139" s="12">
        <v>0</v>
      </c>
    </row>
    <row r="140" spans="1:25" s="19" customFormat="1" ht="14.25" customHeight="1" x14ac:dyDescent="0.2">
      <c r="A140" s="13">
        <v>77</v>
      </c>
      <c r="B140" s="13">
        <v>121</v>
      </c>
      <c r="C140" s="13">
        <v>88</v>
      </c>
      <c r="D140" s="15">
        <v>1</v>
      </c>
      <c r="E140" s="13"/>
      <c r="F140" s="13">
        <v>0</v>
      </c>
      <c r="G140" s="15">
        <v>13</v>
      </c>
      <c r="H140" s="13">
        <v>137</v>
      </c>
      <c r="I140" s="14">
        <f>H140/A140</f>
        <v>1.7792207792207793</v>
      </c>
      <c r="J140" s="13">
        <v>1</v>
      </c>
      <c r="K140" s="15">
        <v>1</v>
      </c>
      <c r="L140" s="13"/>
      <c r="M140" s="13">
        <v>2</v>
      </c>
      <c r="N140" s="16">
        <v>17</v>
      </c>
      <c r="O140" s="14">
        <f>N140/G140</f>
        <v>1.3076923076923077</v>
      </c>
      <c r="P140" s="14">
        <f>N140-G140</f>
        <v>4</v>
      </c>
      <c r="Q140" s="17">
        <f>IF(F140&lt;2,IF(M140&lt;2,0,1),1)</f>
        <v>1</v>
      </c>
      <c r="R140" s="18">
        <f>K140-D140</f>
        <v>0</v>
      </c>
      <c r="S140" s="17">
        <f>IF(R140&gt;0.09,1,0)</f>
        <v>0</v>
      </c>
      <c r="T140" s="17">
        <v>0</v>
      </c>
      <c r="U140" s="17"/>
      <c r="V140" s="17">
        <f>SUM(J140,Q140,S140,T140,U140)</f>
        <v>2</v>
      </c>
      <c r="W140" s="17">
        <v>2</v>
      </c>
      <c r="X140" s="17">
        <v>3</v>
      </c>
      <c r="Y140" s="12">
        <v>0</v>
      </c>
    </row>
    <row r="141" spans="1:25" s="19" customFormat="1" ht="14.25" customHeight="1" x14ac:dyDescent="0.2">
      <c r="A141" s="13">
        <v>52</v>
      </c>
      <c r="B141" s="13">
        <v>126</v>
      </c>
      <c r="C141" s="13">
        <v>60</v>
      </c>
      <c r="D141" s="15">
        <v>1.44</v>
      </c>
      <c r="E141" s="13"/>
      <c r="F141" s="13">
        <v>0</v>
      </c>
      <c r="G141" s="15">
        <v>12.3</v>
      </c>
      <c r="H141" s="13">
        <v>125</v>
      </c>
      <c r="I141" s="14">
        <f>H141/A141</f>
        <v>2.4038461538461537</v>
      </c>
      <c r="J141" s="13">
        <v>0</v>
      </c>
      <c r="K141" s="15">
        <v>1.75</v>
      </c>
      <c r="L141" s="13"/>
      <c r="M141" s="13">
        <v>12</v>
      </c>
      <c r="N141" s="16">
        <v>11.6</v>
      </c>
      <c r="O141" s="14">
        <f>N141/G141</f>
        <v>0.94308943089430886</v>
      </c>
      <c r="P141" s="14">
        <f>N141-G141</f>
        <v>-0.70000000000000107</v>
      </c>
      <c r="Q141" s="17">
        <f>IF(F141&lt;2,IF(M141&lt;2,0,1),1)</f>
        <v>1</v>
      </c>
      <c r="R141" s="18">
        <f>K141-D141</f>
        <v>0.31000000000000005</v>
      </c>
      <c r="S141" s="17">
        <f>IF(R141&gt;0.09,1,0)</f>
        <v>1</v>
      </c>
      <c r="T141" s="17">
        <v>1</v>
      </c>
      <c r="U141" s="17"/>
      <c r="V141" s="17">
        <f>SUM(J141,Q141,S141,T141,U141)</f>
        <v>3</v>
      </c>
      <c r="W141" s="17">
        <v>3</v>
      </c>
      <c r="X141" s="17">
        <v>4</v>
      </c>
      <c r="Y141" s="12">
        <v>1</v>
      </c>
    </row>
    <row r="142" spans="1:25" s="19" customFormat="1" ht="14.25" customHeight="1" x14ac:dyDescent="0.2">
      <c r="A142" s="13">
        <v>59</v>
      </c>
      <c r="B142" s="13">
        <v>110</v>
      </c>
      <c r="C142" s="13">
        <v>66</v>
      </c>
      <c r="D142" s="15">
        <v>1</v>
      </c>
      <c r="E142" s="13"/>
      <c r="F142" s="13">
        <v>0</v>
      </c>
      <c r="G142" s="15">
        <v>15.4</v>
      </c>
      <c r="H142" s="13">
        <v>125</v>
      </c>
      <c r="I142" s="14">
        <f>H142/A142</f>
        <v>2.1186440677966103</v>
      </c>
      <c r="J142" s="13">
        <v>0</v>
      </c>
      <c r="K142" s="15">
        <v>1</v>
      </c>
      <c r="L142" s="13"/>
      <c r="M142" s="13">
        <v>0</v>
      </c>
      <c r="N142" s="16">
        <v>13</v>
      </c>
      <c r="O142" s="14">
        <f>N142/G142</f>
        <v>0.8441558441558441</v>
      </c>
      <c r="P142" s="14">
        <f>N142-G142</f>
        <v>-2.4000000000000004</v>
      </c>
      <c r="Q142" s="17">
        <f>IF(F142&lt;2,IF(M142&lt;2,0,1),1)</f>
        <v>0</v>
      </c>
      <c r="R142" s="18">
        <f>K142-D142</f>
        <v>0</v>
      </c>
      <c r="S142" s="17">
        <f>IF(R142&gt;0.09,1,0)</f>
        <v>0</v>
      </c>
      <c r="T142" s="17">
        <v>0</v>
      </c>
      <c r="U142" s="17"/>
      <c r="V142" s="17">
        <f>SUM(J142,Q142,S142,T142,U142)</f>
        <v>0</v>
      </c>
      <c r="W142" s="17">
        <v>1</v>
      </c>
      <c r="X142" s="17">
        <v>2</v>
      </c>
      <c r="Y142" s="12">
        <v>0</v>
      </c>
    </row>
    <row r="143" spans="1:25" s="19" customFormat="1" ht="14.25" customHeight="1" x14ac:dyDescent="0.2">
      <c r="A143" s="13">
        <v>69</v>
      </c>
      <c r="B143" s="13">
        <v>116</v>
      </c>
      <c r="C143" s="13">
        <v>89</v>
      </c>
      <c r="D143" s="15">
        <v>1.19</v>
      </c>
      <c r="E143" s="13"/>
      <c r="F143" s="13">
        <v>0</v>
      </c>
      <c r="G143" s="15">
        <v>12</v>
      </c>
      <c r="H143" s="13">
        <v>142</v>
      </c>
      <c r="I143" s="14">
        <f>H143/A143</f>
        <v>2.0579710144927534</v>
      </c>
      <c r="J143" s="13">
        <v>0</v>
      </c>
      <c r="K143" s="15">
        <v>1.19</v>
      </c>
      <c r="L143" s="13"/>
      <c r="M143" s="13">
        <v>0</v>
      </c>
      <c r="N143" s="16">
        <v>14</v>
      </c>
      <c r="O143" s="14">
        <f>N143/G143</f>
        <v>1.1666666666666667</v>
      </c>
      <c r="P143" s="14">
        <f>N143-G143</f>
        <v>2</v>
      </c>
      <c r="Q143" s="17">
        <f>IF(F143&lt;2,IF(M143&lt;2,0,1),1)</f>
        <v>0</v>
      </c>
      <c r="R143" s="18">
        <f>K143-D143</f>
        <v>0</v>
      </c>
      <c r="S143" s="17">
        <f>IF(R143&gt;0.09,1,0)</f>
        <v>0</v>
      </c>
      <c r="T143" s="17">
        <v>0</v>
      </c>
      <c r="U143" s="17"/>
      <c r="V143" s="17">
        <f>SUM(J143,Q143,S143,T143,U143)</f>
        <v>0</v>
      </c>
      <c r="W143" s="17">
        <v>0</v>
      </c>
      <c r="X143" s="17">
        <v>0</v>
      </c>
      <c r="Y143" s="12">
        <v>0</v>
      </c>
    </row>
    <row r="144" spans="1:25" s="19" customFormat="1" ht="14.25" customHeight="1" x14ac:dyDescent="0.2">
      <c r="A144" s="13">
        <v>74</v>
      </c>
      <c r="B144" s="13">
        <v>136</v>
      </c>
      <c r="C144" s="13">
        <v>70</v>
      </c>
      <c r="D144" s="15">
        <v>1</v>
      </c>
      <c r="E144" s="13"/>
      <c r="F144" s="13">
        <v>1</v>
      </c>
      <c r="G144" s="15">
        <v>12</v>
      </c>
      <c r="H144" s="13">
        <v>126</v>
      </c>
      <c r="I144" s="14">
        <f>H144/A144</f>
        <v>1.7027027027027026</v>
      </c>
      <c r="J144" s="13">
        <v>1</v>
      </c>
      <c r="K144" s="15">
        <v>1.25</v>
      </c>
      <c r="L144" s="13"/>
      <c r="M144" s="13">
        <v>3</v>
      </c>
      <c r="N144" s="16">
        <v>13.8</v>
      </c>
      <c r="O144" s="14">
        <f>N144/G144</f>
        <v>1.1500000000000001</v>
      </c>
      <c r="P144" s="14">
        <f>N144-G144</f>
        <v>1.8000000000000007</v>
      </c>
      <c r="Q144" s="17">
        <f>IF(F144&lt;2,IF(M144&lt;2,0,1),1)</f>
        <v>1</v>
      </c>
      <c r="R144" s="18">
        <f>K144-D144</f>
        <v>0.25</v>
      </c>
      <c r="S144" s="17">
        <f>IF(R144&gt;0.09,1,0)</f>
        <v>1</v>
      </c>
      <c r="T144" s="17">
        <v>1</v>
      </c>
      <c r="U144" s="17"/>
      <c r="V144" s="17">
        <f>SUM(J144,Q144,S144,T144,U144)</f>
        <v>4</v>
      </c>
      <c r="W144" s="17">
        <v>5</v>
      </c>
      <c r="X144" s="17">
        <v>6</v>
      </c>
      <c r="Y144" s="12">
        <v>1</v>
      </c>
    </row>
    <row r="145" spans="1:25" s="19" customFormat="1" ht="14.25" customHeight="1" x14ac:dyDescent="0.2">
      <c r="A145" s="13">
        <v>75</v>
      </c>
      <c r="B145" s="13">
        <v>108</v>
      </c>
      <c r="C145" s="13">
        <v>84</v>
      </c>
      <c r="D145" s="15">
        <v>1</v>
      </c>
      <c r="E145" s="13"/>
      <c r="F145" s="13">
        <v>0</v>
      </c>
      <c r="G145" s="15">
        <v>12.3</v>
      </c>
      <c r="H145" s="13">
        <v>127</v>
      </c>
      <c r="I145" s="14">
        <f>H145/A145</f>
        <v>1.6933333333333334</v>
      </c>
      <c r="J145" s="13">
        <v>1</v>
      </c>
      <c r="K145" s="15">
        <v>1</v>
      </c>
      <c r="L145" s="13"/>
      <c r="M145" s="13">
        <v>2</v>
      </c>
      <c r="N145" s="16">
        <v>16</v>
      </c>
      <c r="O145" s="14">
        <f>N145/G145</f>
        <v>1.3008130081300813</v>
      </c>
      <c r="P145" s="14">
        <f>N145-G145</f>
        <v>3.6999999999999993</v>
      </c>
      <c r="Q145" s="17">
        <f>IF(F145&lt;2,IF(M145&lt;2,0,1),1)</f>
        <v>1</v>
      </c>
      <c r="R145" s="18">
        <f>K145-D145</f>
        <v>0</v>
      </c>
      <c r="S145" s="17">
        <f>IF(R145&gt;0.09,1,0)</f>
        <v>0</v>
      </c>
      <c r="T145" s="17">
        <v>0</v>
      </c>
      <c r="U145" s="17"/>
      <c r="V145" s="17">
        <f>SUM(J145,Q145,S145,T145,U145)</f>
        <v>2</v>
      </c>
      <c r="W145" s="17">
        <v>3</v>
      </c>
      <c r="X145" s="17">
        <v>4</v>
      </c>
      <c r="Y145" s="12">
        <v>0</v>
      </c>
    </row>
    <row r="146" spans="1:25" s="19" customFormat="1" ht="14.25" customHeight="1" x14ac:dyDescent="0.2">
      <c r="A146" s="13">
        <v>59</v>
      </c>
      <c r="B146" s="13">
        <v>139</v>
      </c>
      <c r="C146" s="13">
        <v>90</v>
      </c>
      <c r="D146" s="15">
        <v>1</v>
      </c>
      <c r="E146" s="13"/>
      <c r="F146" s="13">
        <v>0</v>
      </c>
      <c r="G146" s="15">
        <v>12.4</v>
      </c>
      <c r="H146" s="13">
        <v>129</v>
      </c>
      <c r="I146" s="14">
        <f>H146/A146</f>
        <v>2.1864406779661016</v>
      </c>
      <c r="J146" s="13">
        <v>0</v>
      </c>
      <c r="K146" s="15">
        <v>1</v>
      </c>
      <c r="L146" s="13"/>
      <c r="M146" s="13">
        <v>4</v>
      </c>
      <c r="N146" s="16">
        <v>14</v>
      </c>
      <c r="O146" s="14">
        <f>N146/G146</f>
        <v>1.129032258064516</v>
      </c>
      <c r="P146" s="14">
        <f>N146-G146</f>
        <v>1.5999999999999996</v>
      </c>
      <c r="Q146" s="17">
        <f>IF(F146&lt;2,IF(M146&lt;2,0,1),1)</f>
        <v>1</v>
      </c>
      <c r="R146" s="18">
        <f>K146-D146</f>
        <v>0</v>
      </c>
      <c r="S146" s="17">
        <f>IF(R146&gt;0.09,1,0)</f>
        <v>0</v>
      </c>
      <c r="T146" s="17">
        <v>0</v>
      </c>
      <c r="U146" s="17"/>
      <c r="V146" s="17">
        <f>SUM(J146,Q146,S146,T146,U146)</f>
        <v>1</v>
      </c>
      <c r="W146" s="17">
        <v>1</v>
      </c>
      <c r="X146" s="17">
        <v>2</v>
      </c>
      <c r="Y146" s="12">
        <v>0</v>
      </c>
    </row>
    <row r="147" spans="1:25" s="19" customFormat="1" ht="14.25" customHeight="1" x14ac:dyDescent="0.2">
      <c r="A147" s="13">
        <v>64</v>
      </c>
      <c r="B147" s="13">
        <v>133</v>
      </c>
      <c r="C147" s="13">
        <v>63</v>
      </c>
      <c r="D147" s="15">
        <v>1.1200000000000001</v>
      </c>
      <c r="E147" s="13"/>
      <c r="F147" s="13">
        <v>0</v>
      </c>
      <c r="G147" s="15">
        <v>14.7</v>
      </c>
      <c r="H147" s="13">
        <v>142</v>
      </c>
      <c r="I147" s="14">
        <f>H147/A147</f>
        <v>2.21875</v>
      </c>
      <c r="J147" s="13">
        <v>0</v>
      </c>
      <c r="K147" s="15">
        <v>1.31</v>
      </c>
      <c r="L147" s="13"/>
      <c r="M147" s="13">
        <v>5</v>
      </c>
      <c r="N147" s="16">
        <v>15.3</v>
      </c>
      <c r="O147" s="14">
        <f>N147/G147</f>
        <v>1.0408163265306123</v>
      </c>
      <c r="P147" s="14">
        <f>N147-G147</f>
        <v>0.60000000000000142</v>
      </c>
      <c r="Q147" s="17">
        <f>IF(F147&lt;2,IF(M147&lt;2,0,1),1)</f>
        <v>1</v>
      </c>
      <c r="R147" s="18">
        <f>K147-D147</f>
        <v>0.18999999999999995</v>
      </c>
      <c r="S147" s="17">
        <f>IF(R147&gt;0.09,1,0)</f>
        <v>1</v>
      </c>
      <c r="T147" s="17">
        <v>1</v>
      </c>
      <c r="U147" s="17"/>
      <c r="V147" s="17">
        <f>SUM(J147,Q147,S147,T147,U147)</f>
        <v>3</v>
      </c>
      <c r="W147" s="17">
        <v>4</v>
      </c>
      <c r="X147" s="17">
        <v>5</v>
      </c>
      <c r="Y147" s="12">
        <v>0</v>
      </c>
    </row>
    <row r="148" spans="1:25" s="19" customFormat="1" ht="14.25" customHeight="1" x14ac:dyDescent="0.2">
      <c r="A148" s="13">
        <v>85</v>
      </c>
      <c r="B148" s="13">
        <v>125</v>
      </c>
      <c r="C148" s="13">
        <v>74</v>
      </c>
      <c r="D148" s="15">
        <v>1</v>
      </c>
      <c r="E148" s="13"/>
      <c r="F148" s="13">
        <v>4</v>
      </c>
      <c r="G148" s="15">
        <v>17</v>
      </c>
      <c r="H148" s="13">
        <v>141</v>
      </c>
      <c r="I148" s="14">
        <f>H148/A148</f>
        <v>1.6588235294117648</v>
      </c>
      <c r="J148" s="13">
        <v>1</v>
      </c>
      <c r="K148" s="15">
        <v>1</v>
      </c>
      <c r="L148" s="13"/>
      <c r="M148" s="13">
        <v>4</v>
      </c>
      <c r="N148" s="16">
        <v>18</v>
      </c>
      <c r="O148" s="14">
        <f>N148/G148</f>
        <v>1.0588235294117647</v>
      </c>
      <c r="P148" s="14">
        <f>N148-G148</f>
        <v>1</v>
      </c>
      <c r="Q148" s="17">
        <f>IF(F148&lt;2,IF(M148&lt;2,0,1),1)</f>
        <v>1</v>
      </c>
      <c r="R148" s="18">
        <f>K148-D148</f>
        <v>0</v>
      </c>
      <c r="S148" s="17">
        <f>IF(R148&gt;0.09,1,0)</f>
        <v>0</v>
      </c>
      <c r="T148" s="17">
        <v>1</v>
      </c>
      <c r="U148" s="17"/>
      <c r="V148" s="17">
        <f>SUM(J148,Q148,S148,T148,U148)</f>
        <v>3</v>
      </c>
      <c r="W148" s="17">
        <v>3</v>
      </c>
      <c r="X148" s="17">
        <v>3</v>
      </c>
      <c r="Y148" s="12">
        <v>1</v>
      </c>
    </row>
    <row r="149" spans="1:25" s="19" customFormat="1" ht="14.25" customHeight="1" x14ac:dyDescent="0.2">
      <c r="A149" s="13">
        <v>70</v>
      </c>
      <c r="B149" s="13">
        <v>135</v>
      </c>
      <c r="C149" s="13">
        <v>95</v>
      </c>
      <c r="D149" s="15">
        <v>1</v>
      </c>
      <c r="E149" s="13"/>
      <c r="F149" s="13">
        <v>0</v>
      </c>
      <c r="G149" s="15">
        <v>13.5</v>
      </c>
      <c r="H149" s="13">
        <v>127</v>
      </c>
      <c r="I149" s="14">
        <f>H149/A149</f>
        <v>1.8142857142857143</v>
      </c>
      <c r="J149" s="13">
        <v>0</v>
      </c>
      <c r="K149" s="15">
        <v>1</v>
      </c>
      <c r="L149" s="13"/>
      <c r="M149" s="13">
        <v>0</v>
      </c>
      <c r="N149" s="16">
        <v>17</v>
      </c>
      <c r="O149" s="14">
        <f>N149/G149</f>
        <v>1.2592592592592593</v>
      </c>
      <c r="P149" s="14">
        <f>N149-G149</f>
        <v>3.5</v>
      </c>
      <c r="Q149" s="17">
        <f>IF(F149&lt;2,IF(M149&lt;2,0,1),1)</f>
        <v>0</v>
      </c>
      <c r="R149" s="18">
        <f>K149-D149</f>
        <v>0</v>
      </c>
      <c r="S149" s="17">
        <f>IF(R149&gt;0.09,1,0)</f>
        <v>0</v>
      </c>
      <c r="T149" s="17">
        <v>0</v>
      </c>
      <c r="U149" s="17"/>
      <c r="V149" s="17">
        <f>SUM(J149,Q149,S149,T149,U149)</f>
        <v>0</v>
      </c>
      <c r="W149" s="17">
        <v>1</v>
      </c>
      <c r="X149" s="17">
        <v>2</v>
      </c>
      <c r="Y149" s="12">
        <v>0</v>
      </c>
    </row>
    <row r="150" spans="1:25" s="19" customFormat="1" ht="14.25" customHeight="1" x14ac:dyDescent="0.2">
      <c r="A150" s="13">
        <v>68</v>
      </c>
      <c r="B150" s="13">
        <v>170</v>
      </c>
      <c r="C150" s="13">
        <v>86</v>
      </c>
      <c r="D150" s="15">
        <v>1.19</v>
      </c>
      <c r="E150" s="13"/>
      <c r="F150" s="13">
        <v>2</v>
      </c>
      <c r="G150" s="15">
        <v>16</v>
      </c>
      <c r="H150" s="13">
        <v>139</v>
      </c>
      <c r="I150" s="14">
        <f>H150/A150</f>
        <v>2.0441176470588234</v>
      </c>
      <c r="J150" s="13">
        <v>0</v>
      </c>
      <c r="K150" s="15">
        <v>1.19</v>
      </c>
      <c r="L150" s="13"/>
      <c r="M150" s="13">
        <v>4</v>
      </c>
      <c r="N150" s="16">
        <v>17</v>
      </c>
      <c r="O150" s="14">
        <f>N150/G150</f>
        <v>1.0625</v>
      </c>
      <c r="P150" s="14">
        <f>N150-G150</f>
        <v>1</v>
      </c>
      <c r="Q150" s="17">
        <f>IF(F150&lt;2,IF(M150&lt;2,0,1),1)</f>
        <v>1</v>
      </c>
      <c r="R150" s="18">
        <f>K150-D150</f>
        <v>0</v>
      </c>
      <c r="S150" s="17">
        <f>IF(R150&gt;0.09,1,0)</f>
        <v>0</v>
      </c>
      <c r="T150" s="17">
        <v>1</v>
      </c>
      <c r="U150" s="17"/>
      <c r="V150" s="17">
        <f>SUM(J150,Q150,S150,T150,U150)</f>
        <v>2</v>
      </c>
      <c r="W150" s="17">
        <v>2</v>
      </c>
      <c r="X150" s="17">
        <v>3</v>
      </c>
      <c r="Y150" s="12">
        <v>0</v>
      </c>
    </row>
    <row r="151" spans="1:25" s="19" customFormat="1" ht="14.25" customHeight="1" x14ac:dyDescent="0.2">
      <c r="A151" s="13">
        <v>75</v>
      </c>
      <c r="B151" s="13">
        <v>137</v>
      </c>
      <c r="C151" s="13">
        <v>79</v>
      </c>
      <c r="D151" s="15">
        <v>1.25</v>
      </c>
      <c r="E151" s="13"/>
      <c r="F151" s="13">
        <v>2</v>
      </c>
      <c r="G151" s="15">
        <v>13.7</v>
      </c>
      <c r="H151" s="13">
        <v>118</v>
      </c>
      <c r="I151" s="14">
        <f>H151/A151</f>
        <v>1.5733333333333333</v>
      </c>
      <c r="J151" s="13">
        <v>1</v>
      </c>
      <c r="K151" s="15">
        <v>1.31</v>
      </c>
      <c r="L151" s="13"/>
      <c r="M151" s="13">
        <v>2</v>
      </c>
      <c r="N151" s="16">
        <v>18</v>
      </c>
      <c r="O151" s="14">
        <f>N151/G151</f>
        <v>1.3138686131386863</v>
      </c>
      <c r="P151" s="14">
        <f>N151-G151</f>
        <v>4.3000000000000007</v>
      </c>
      <c r="Q151" s="17">
        <f>IF(F151&lt;2,IF(M151&lt;2,0,1),1)</f>
        <v>1</v>
      </c>
      <c r="R151" s="18">
        <f>K151-D151</f>
        <v>6.0000000000000053E-2</v>
      </c>
      <c r="S151" s="17">
        <f>IF(R151&gt;0.09,1,0)</f>
        <v>0</v>
      </c>
      <c r="T151" s="17">
        <v>1</v>
      </c>
      <c r="U151" s="17"/>
      <c r="V151" s="17">
        <f>SUM(J151,Q151,S151,T151,U151)</f>
        <v>3</v>
      </c>
      <c r="W151" s="17">
        <v>3</v>
      </c>
      <c r="X151" s="17">
        <v>4</v>
      </c>
      <c r="Y151" s="12">
        <v>1</v>
      </c>
    </row>
    <row r="152" spans="1:25" s="19" customFormat="1" ht="14.25" customHeight="1" x14ac:dyDescent="0.2">
      <c r="A152" s="13">
        <v>72</v>
      </c>
      <c r="B152" s="13">
        <v>102</v>
      </c>
      <c r="C152" s="13">
        <v>71</v>
      </c>
      <c r="D152" s="15">
        <v>1</v>
      </c>
      <c r="E152" s="13"/>
      <c r="F152" s="13">
        <v>0</v>
      </c>
      <c r="G152" s="15">
        <v>13</v>
      </c>
      <c r="H152" s="13">
        <v>141</v>
      </c>
      <c r="I152" s="14">
        <f>H152/A152</f>
        <v>1.9583333333333333</v>
      </c>
      <c r="J152" s="13">
        <v>0</v>
      </c>
      <c r="K152" s="15">
        <v>1</v>
      </c>
      <c r="L152" s="13"/>
      <c r="M152" s="13">
        <v>0</v>
      </c>
      <c r="N152" s="16">
        <v>17</v>
      </c>
      <c r="O152" s="14">
        <f>N152/G152</f>
        <v>1.3076923076923077</v>
      </c>
      <c r="P152" s="14">
        <f>N152-G152</f>
        <v>4</v>
      </c>
      <c r="Q152" s="17">
        <f>IF(F152&lt;2,IF(M152&lt;2,0,1),1)</f>
        <v>0</v>
      </c>
      <c r="R152" s="18">
        <f>K152-D152</f>
        <v>0</v>
      </c>
      <c r="S152" s="17">
        <f>IF(R152&gt;0.09,1,0)</f>
        <v>0</v>
      </c>
      <c r="T152" s="17">
        <v>1</v>
      </c>
      <c r="U152" s="17"/>
      <c r="V152" s="17">
        <f>SUM(J152,Q152,S152,T152,U152)</f>
        <v>1</v>
      </c>
      <c r="W152" s="17">
        <v>1</v>
      </c>
      <c r="X152" s="17">
        <v>2</v>
      </c>
      <c r="Y152" s="12">
        <v>0</v>
      </c>
    </row>
    <row r="153" spans="1:25" s="19" customFormat="1" ht="14.25" customHeight="1" x14ac:dyDescent="0.2">
      <c r="A153" s="13">
        <v>77</v>
      </c>
      <c r="B153" s="13">
        <v>132</v>
      </c>
      <c r="C153" s="13">
        <v>103</v>
      </c>
      <c r="D153" s="15">
        <v>1.06</v>
      </c>
      <c r="E153" s="13"/>
      <c r="F153" s="13">
        <v>0</v>
      </c>
      <c r="G153" s="15">
        <v>12</v>
      </c>
      <c r="H153" s="13">
        <v>131</v>
      </c>
      <c r="I153" s="14">
        <f>H153/A153</f>
        <v>1.7012987012987013</v>
      </c>
      <c r="J153" s="13">
        <v>1</v>
      </c>
      <c r="K153" s="15">
        <v>1.19</v>
      </c>
      <c r="L153" s="13"/>
      <c r="M153" s="13">
        <v>0</v>
      </c>
      <c r="N153" s="16">
        <v>14</v>
      </c>
      <c r="O153" s="14">
        <f>N153/G153</f>
        <v>1.1666666666666667</v>
      </c>
      <c r="P153" s="14">
        <f>N153-G153</f>
        <v>2</v>
      </c>
      <c r="Q153" s="17">
        <f>IF(F153&lt;2,IF(M153&lt;2,0,1),1)</f>
        <v>0</v>
      </c>
      <c r="R153" s="18">
        <f>K153-D153</f>
        <v>0.12999999999999989</v>
      </c>
      <c r="S153" s="17">
        <f>IF(R153&gt;0.09,1,0)</f>
        <v>1</v>
      </c>
      <c r="T153" s="17">
        <v>1</v>
      </c>
      <c r="U153" s="17"/>
      <c r="V153" s="17">
        <f>SUM(J153,Q153,S153,T153,U153)</f>
        <v>3</v>
      </c>
      <c r="W153" s="17">
        <v>4</v>
      </c>
      <c r="X153" s="17">
        <v>5</v>
      </c>
      <c r="Y153" s="12">
        <v>0</v>
      </c>
    </row>
    <row r="154" spans="1:25" s="19" customFormat="1" ht="14.25" customHeight="1" x14ac:dyDescent="0.2">
      <c r="A154" s="13">
        <v>62</v>
      </c>
      <c r="B154" s="13">
        <v>122</v>
      </c>
      <c r="C154" s="13">
        <v>97</v>
      </c>
      <c r="D154" s="15">
        <v>1</v>
      </c>
      <c r="E154" s="13"/>
      <c r="F154" s="13">
        <v>0</v>
      </c>
      <c r="G154" s="15">
        <v>15.8</v>
      </c>
      <c r="H154" s="13">
        <v>117</v>
      </c>
      <c r="I154" s="14">
        <f>H154/A154</f>
        <v>1.8870967741935485</v>
      </c>
      <c r="J154" s="13">
        <v>0</v>
      </c>
      <c r="K154" s="15">
        <v>1</v>
      </c>
      <c r="L154" s="13"/>
      <c r="M154" s="13">
        <v>0</v>
      </c>
      <c r="N154" s="16">
        <v>20</v>
      </c>
      <c r="O154" s="14">
        <f>N154/G154</f>
        <v>1.2658227848101264</v>
      </c>
      <c r="P154" s="14">
        <f>N154-G154</f>
        <v>4.1999999999999993</v>
      </c>
      <c r="Q154" s="17">
        <f>IF(F154&lt;2,IF(M154&lt;2,0,1),1)</f>
        <v>0</v>
      </c>
      <c r="R154" s="18">
        <f>K154-D154</f>
        <v>0</v>
      </c>
      <c r="S154" s="17">
        <f>IF(R154&gt;0.09,1,0)</f>
        <v>0</v>
      </c>
      <c r="T154" s="17">
        <v>0</v>
      </c>
      <c r="U154" s="17"/>
      <c r="V154" s="17">
        <f>SUM(J154,Q154,S154,T154,U154)</f>
        <v>0</v>
      </c>
      <c r="W154" s="17">
        <v>1</v>
      </c>
      <c r="X154" s="17">
        <v>2</v>
      </c>
      <c r="Y154" s="12">
        <v>0</v>
      </c>
    </row>
    <row r="155" spans="1:25" s="19" customFormat="1" ht="14.25" customHeight="1" x14ac:dyDescent="0.2">
      <c r="A155" s="13">
        <v>92</v>
      </c>
      <c r="B155" s="13">
        <v>135</v>
      </c>
      <c r="C155" s="13">
        <v>75</v>
      </c>
      <c r="D155" s="15">
        <v>1.25</v>
      </c>
      <c r="E155" s="13"/>
      <c r="F155" s="13">
        <v>0</v>
      </c>
      <c r="G155" s="15">
        <v>11.7</v>
      </c>
      <c r="H155" s="13">
        <v>139</v>
      </c>
      <c r="I155" s="14">
        <f>H155/A155</f>
        <v>1.5108695652173914</v>
      </c>
      <c r="J155" s="13">
        <v>1</v>
      </c>
      <c r="K155" s="15">
        <v>1.25</v>
      </c>
      <c r="L155" s="13"/>
      <c r="M155" s="13">
        <v>0</v>
      </c>
      <c r="N155" s="16">
        <v>15.5</v>
      </c>
      <c r="O155" s="14">
        <f>N155/G155</f>
        <v>1.324786324786325</v>
      </c>
      <c r="P155" s="14">
        <f>N155-G155</f>
        <v>3.8000000000000007</v>
      </c>
      <c r="Q155" s="17">
        <f>IF(F155&lt;2,IF(M155&lt;2,0,1),1)</f>
        <v>0</v>
      </c>
      <c r="R155" s="18">
        <f>K155-D155</f>
        <v>0</v>
      </c>
      <c r="S155" s="17">
        <f>IF(R155&gt;0.09,1,0)</f>
        <v>0</v>
      </c>
      <c r="T155" s="17">
        <v>1</v>
      </c>
      <c r="U155" s="17"/>
      <c r="V155" s="17">
        <f>SUM(J155,Q155,S155,T155,U155)</f>
        <v>2</v>
      </c>
      <c r="W155" s="17">
        <v>2</v>
      </c>
      <c r="X155" s="17">
        <v>2</v>
      </c>
      <c r="Y155" s="12">
        <v>0</v>
      </c>
    </row>
    <row r="156" spans="1:25" s="19" customFormat="1" ht="14.25" customHeight="1" x14ac:dyDescent="0.2">
      <c r="A156" s="13">
        <v>52</v>
      </c>
      <c r="B156" s="13">
        <v>128</v>
      </c>
      <c r="C156" s="13">
        <v>75</v>
      </c>
      <c r="D156" s="15">
        <v>1</v>
      </c>
      <c r="E156" s="13"/>
      <c r="F156" s="13">
        <v>2</v>
      </c>
      <c r="G156" s="15">
        <v>15.5</v>
      </c>
      <c r="H156" s="13">
        <v>95</v>
      </c>
      <c r="I156" s="14">
        <f>H156/A156</f>
        <v>1.8269230769230769</v>
      </c>
      <c r="J156" s="13">
        <v>0</v>
      </c>
      <c r="K156" s="15">
        <v>1</v>
      </c>
      <c r="L156" s="13"/>
      <c r="M156" s="13">
        <v>0</v>
      </c>
      <c r="N156" s="16">
        <v>16</v>
      </c>
      <c r="O156" s="14">
        <f>N156/G156</f>
        <v>1.032258064516129</v>
      </c>
      <c r="P156" s="14">
        <f>N156-G156</f>
        <v>0.5</v>
      </c>
      <c r="Q156" s="17">
        <f>IF(F156&lt;2,IF(M156&lt;2,0,1),1)</f>
        <v>1</v>
      </c>
      <c r="R156" s="18">
        <f>K156-D156</f>
        <v>0</v>
      </c>
      <c r="S156" s="17">
        <f>IF(R156&gt;0.09,1,0)</f>
        <v>0</v>
      </c>
      <c r="T156" s="17">
        <v>1</v>
      </c>
      <c r="U156" s="17"/>
      <c r="V156" s="17">
        <f>SUM(J156,Q156,S156,T156,U156)</f>
        <v>2</v>
      </c>
      <c r="W156" s="17">
        <v>3</v>
      </c>
      <c r="X156" s="17">
        <v>3</v>
      </c>
      <c r="Y156" s="12">
        <v>0</v>
      </c>
    </row>
    <row r="157" spans="1:25" s="19" customFormat="1" ht="14.25" customHeight="1" x14ac:dyDescent="0.2">
      <c r="A157" s="13">
        <v>67</v>
      </c>
      <c r="B157" s="13">
        <v>141</v>
      </c>
      <c r="C157" s="13">
        <v>93</v>
      </c>
      <c r="D157" s="15">
        <v>1</v>
      </c>
      <c r="E157" s="13"/>
      <c r="F157" s="13">
        <v>1</v>
      </c>
      <c r="G157" s="15">
        <v>12</v>
      </c>
      <c r="H157" s="13">
        <v>136</v>
      </c>
      <c r="I157" s="14">
        <f>H157/A157</f>
        <v>2.0298507462686568</v>
      </c>
      <c r="J157" s="13">
        <v>0</v>
      </c>
      <c r="K157" s="15">
        <v>1.1200000000000001</v>
      </c>
      <c r="L157" s="13"/>
      <c r="M157" s="13">
        <v>1</v>
      </c>
      <c r="N157" s="16">
        <v>10.7</v>
      </c>
      <c r="O157" s="14">
        <f>N157/G157</f>
        <v>0.89166666666666661</v>
      </c>
      <c r="P157" s="14">
        <f>N157-G157</f>
        <v>-1.3000000000000007</v>
      </c>
      <c r="Q157" s="17">
        <f>IF(F157&lt;2,IF(M157&lt;2,0,1),1)</f>
        <v>0</v>
      </c>
      <c r="R157" s="18">
        <f>K157-D157</f>
        <v>0.12000000000000011</v>
      </c>
      <c r="S157" s="17">
        <f>IF(R157&gt;0.09,1,0)</f>
        <v>1</v>
      </c>
      <c r="T157" s="17">
        <v>1</v>
      </c>
      <c r="U157" s="17"/>
      <c r="V157" s="17">
        <f>SUM(J157,Q157,S157,T157,U157)</f>
        <v>2</v>
      </c>
      <c r="W157" s="17">
        <v>2</v>
      </c>
      <c r="X157" s="17">
        <v>3</v>
      </c>
      <c r="Y157" s="12">
        <v>0</v>
      </c>
    </row>
    <row r="158" spans="1:25" s="19" customFormat="1" ht="14.25" customHeight="1" x14ac:dyDescent="0.2">
      <c r="A158" s="13">
        <v>68</v>
      </c>
      <c r="B158" s="13">
        <v>128</v>
      </c>
      <c r="C158" s="13">
        <v>80</v>
      </c>
      <c r="D158" s="15">
        <v>1</v>
      </c>
      <c r="E158" s="13"/>
      <c r="F158" s="13">
        <v>4</v>
      </c>
      <c r="G158" s="15">
        <v>12</v>
      </c>
      <c r="H158" s="13">
        <v>130</v>
      </c>
      <c r="I158" s="14">
        <f>H158/A158</f>
        <v>1.911764705882353</v>
      </c>
      <c r="J158" s="13">
        <v>0</v>
      </c>
      <c r="K158" s="15">
        <v>1</v>
      </c>
      <c r="L158" s="13"/>
      <c r="M158" s="13">
        <v>8</v>
      </c>
      <c r="N158" s="16">
        <v>10</v>
      </c>
      <c r="O158" s="14">
        <f>N158/G158</f>
        <v>0.83333333333333337</v>
      </c>
      <c r="P158" s="14">
        <f>N158-G158</f>
        <v>-2</v>
      </c>
      <c r="Q158" s="17">
        <f>IF(F158&lt;2,IF(M158&lt;2,0,1),1)</f>
        <v>1</v>
      </c>
      <c r="R158" s="18">
        <f>K158-D158</f>
        <v>0</v>
      </c>
      <c r="S158" s="17">
        <f>IF(R158&gt;0.09,1,0)</f>
        <v>0</v>
      </c>
      <c r="T158" s="17">
        <v>1</v>
      </c>
      <c r="U158" s="17"/>
      <c r="V158" s="17">
        <f>SUM(J158,Q158,S158,T158,U158)</f>
        <v>2</v>
      </c>
      <c r="W158" s="17">
        <v>2</v>
      </c>
      <c r="X158" s="17">
        <v>2</v>
      </c>
      <c r="Y158" s="12">
        <v>0</v>
      </c>
    </row>
    <row r="159" spans="1:25" s="19" customFormat="1" ht="14.25" customHeight="1" x14ac:dyDescent="0.2">
      <c r="A159" s="13">
        <v>65</v>
      </c>
      <c r="B159" s="13">
        <v>131</v>
      </c>
      <c r="C159" s="13">
        <v>69</v>
      </c>
      <c r="D159" s="15">
        <v>1.19</v>
      </c>
      <c r="E159" s="13"/>
      <c r="F159" s="13">
        <v>0</v>
      </c>
      <c r="G159" s="15">
        <v>11</v>
      </c>
      <c r="H159" s="13">
        <v>98</v>
      </c>
      <c r="I159" s="14">
        <f>H159/A159</f>
        <v>1.5076923076923077</v>
      </c>
      <c r="J159" s="13">
        <v>1</v>
      </c>
      <c r="K159" s="15">
        <v>1.31</v>
      </c>
      <c r="L159" s="13"/>
      <c r="M159" s="13">
        <v>3</v>
      </c>
      <c r="N159" s="16">
        <v>12</v>
      </c>
      <c r="O159" s="14">
        <f>N159/G159</f>
        <v>1.0909090909090908</v>
      </c>
      <c r="P159" s="14">
        <f>N159-G159</f>
        <v>1</v>
      </c>
      <c r="Q159" s="17">
        <f>IF(F159&lt;2,IF(M159&lt;2,0,1),1)</f>
        <v>1</v>
      </c>
      <c r="R159" s="18">
        <f>K159-D159</f>
        <v>0.12000000000000011</v>
      </c>
      <c r="S159" s="17">
        <f>IF(R159&gt;0.09,1,0)</f>
        <v>1</v>
      </c>
      <c r="T159" s="17">
        <v>1</v>
      </c>
      <c r="U159" s="17"/>
      <c r="V159" s="17">
        <f>SUM(J159,Q159,S159,T159,U159)</f>
        <v>4</v>
      </c>
      <c r="W159" s="17">
        <v>5</v>
      </c>
      <c r="X159" s="17">
        <v>6</v>
      </c>
      <c r="Y159" s="12">
        <v>1</v>
      </c>
    </row>
    <row r="160" spans="1:25" s="19" customFormat="1" ht="14.25" customHeight="1" x14ac:dyDescent="0.2">
      <c r="A160" s="13">
        <v>71</v>
      </c>
      <c r="B160" s="13">
        <v>120</v>
      </c>
      <c r="C160" s="13">
        <v>67</v>
      </c>
      <c r="D160" s="15">
        <v>1</v>
      </c>
      <c r="E160" s="13"/>
      <c r="F160" s="13">
        <v>0</v>
      </c>
      <c r="G160" s="15">
        <v>14</v>
      </c>
      <c r="H160" s="13">
        <v>136</v>
      </c>
      <c r="I160" s="14">
        <f>H160/A160</f>
        <v>1.9154929577464788</v>
      </c>
      <c r="J160" s="13">
        <v>0</v>
      </c>
      <c r="K160" s="15">
        <v>1</v>
      </c>
      <c r="L160" s="13"/>
      <c r="M160" s="13">
        <v>0</v>
      </c>
      <c r="N160" s="16">
        <v>16</v>
      </c>
      <c r="O160" s="14">
        <f>N160/G160</f>
        <v>1.1428571428571428</v>
      </c>
      <c r="P160" s="14">
        <f>N160-G160</f>
        <v>2</v>
      </c>
      <c r="Q160" s="17">
        <f>IF(F160&lt;2,IF(M160&lt;2,0,1),1)</f>
        <v>0</v>
      </c>
      <c r="R160" s="18">
        <f>K160-D160</f>
        <v>0</v>
      </c>
      <c r="S160" s="17">
        <f>IF(R160&gt;0.09,1,0)</f>
        <v>0</v>
      </c>
      <c r="T160" s="17">
        <v>0</v>
      </c>
      <c r="U160" s="17"/>
      <c r="V160" s="17">
        <f>SUM(J160,Q160,S160,T160,U160)</f>
        <v>0</v>
      </c>
      <c r="W160" s="17">
        <v>0</v>
      </c>
      <c r="X160" s="17">
        <v>0</v>
      </c>
      <c r="Y160" s="12">
        <v>0</v>
      </c>
    </row>
    <row r="161" spans="1:25" s="19" customFormat="1" ht="14.25" customHeight="1" x14ac:dyDescent="0.2">
      <c r="A161" s="13">
        <v>70</v>
      </c>
      <c r="B161" s="13">
        <v>137</v>
      </c>
      <c r="C161" s="13">
        <v>83</v>
      </c>
      <c r="D161" s="15">
        <v>1</v>
      </c>
      <c r="E161" s="13"/>
      <c r="F161" s="13">
        <v>1</v>
      </c>
      <c r="G161" s="15">
        <v>11</v>
      </c>
      <c r="H161" s="13">
        <v>148</v>
      </c>
      <c r="I161" s="14">
        <f>H161/A161</f>
        <v>2.1142857142857143</v>
      </c>
      <c r="J161" s="13">
        <v>0</v>
      </c>
      <c r="K161" s="15">
        <v>1</v>
      </c>
      <c r="L161" s="13"/>
      <c r="M161" s="13">
        <v>2</v>
      </c>
      <c r="N161" s="16">
        <v>10</v>
      </c>
      <c r="O161" s="14">
        <f>N161/G161</f>
        <v>0.90909090909090906</v>
      </c>
      <c r="P161" s="14">
        <f>N161-G161</f>
        <v>-1</v>
      </c>
      <c r="Q161" s="17">
        <f>IF(F161&lt;2,IF(M161&lt;2,0,1),1)</f>
        <v>1</v>
      </c>
      <c r="R161" s="18">
        <f>K161-D161</f>
        <v>0</v>
      </c>
      <c r="S161" s="17">
        <f>IF(R161&gt;0.09,1,0)</f>
        <v>0</v>
      </c>
      <c r="T161" s="17">
        <v>1</v>
      </c>
      <c r="U161" s="17"/>
      <c r="V161" s="17">
        <f>SUM(J161,Q161,S161,T161,U161)</f>
        <v>2</v>
      </c>
      <c r="W161" s="17">
        <v>3</v>
      </c>
      <c r="X161" s="17">
        <v>4</v>
      </c>
      <c r="Y161" s="12">
        <v>1</v>
      </c>
    </row>
    <row r="162" spans="1:25" s="19" customFormat="1" ht="14.25" customHeight="1" x14ac:dyDescent="0.2">
      <c r="A162" s="13">
        <v>84</v>
      </c>
      <c r="B162" s="13">
        <v>133</v>
      </c>
      <c r="C162" s="13">
        <v>83</v>
      </c>
      <c r="D162" s="15">
        <v>1</v>
      </c>
      <c r="E162" s="13"/>
      <c r="F162" s="13">
        <v>0</v>
      </c>
      <c r="G162" s="15">
        <v>14</v>
      </c>
      <c r="H162" s="13">
        <v>133</v>
      </c>
      <c r="I162" s="14">
        <f>H162/A162</f>
        <v>1.5833333333333333</v>
      </c>
      <c r="J162" s="13">
        <v>1</v>
      </c>
      <c r="K162" s="15">
        <v>1</v>
      </c>
      <c r="L162" s="13"/>
      <c r="M162" s="13">
        <v>2</v>
      </c>
      <c r="N162" s="16">
        <v>16</v>
      </c>
      <c r="O162" s="14">
        <f>N162/G162</f>
        <v>1.1428571428571428</v>
      </c>
      <c r="P162" s="14">
        <f>N162-G162</f>
        <v>2</v>
      </c>
      <c r="Q162" s="17">
        <f>IF(F162&lt;2,IF(M162&lt;2,0,1),1)</f>
        <v>1</v>
      </c>
      <c r="R162" s="18">
        <f>K162-D162</f>
        <v>0</v>
      </c>
      <c r="S162" s="17">
        <f>IF(R162&gt;0.09,1,0)</f>
        <v>0</v>
      </c>
      <c r="T162" s="17">
        <v>0</v>
      </c>
      <c r="U162" s="17"/>
      <c r="V162" s="17">
        <f>SUM(J162,Q162,S162,T162,U162)</f>
        <v>2</v>
      </c>
      <c r="W162" s="17">
        <v>3</v>
      </c>
      <c r="X162" s="17">
        <v>4</v>
      </c>
      <c r="Y162" s="12">
        <v>0</v>
      </c>
    </row>
    <row r="163" spans="1:25" s="19" customFormat="1" ht="14.25" customHeight="1" x14ac:dyDescent="0.2">
      <c r="A163" s="13">
        <v>63</v>
      </c>
      <c r="B163" s="13">
        <v>117</v>
      </c>
      <c r="C163" s="13">
        <v>75</v>
      </c>
      <c r="D163" s="15">
        <v>1</v>
      </c>
      <c r="E163" s="13"/>
      <c r="F163" s="13">
        <v>0</v>
      </c>
      <c r="G163" s="15">
        <v>18.399999999999999</v>
      </c>
      <c r="H163" s="13">
        <v>148</v>
      </c>
      <c r="I163" s="14">
        <f>H163/A163</f>
        <v>2.3492063492063493</v>
      </c>
      <c r="J163" s="13">
        <v>0</v>
      </c>
      <c r="K163" s="15">
        <v>1</v>
      </c>
      <c r="L163" s="13"/>
      <c r="M163" s="13">
        <v>3</v>
      </c>
      <c r="N163" s="16">
        <v>20</v>
      </c>
      <c r="O163" s="14">
        <f>N163/G163</f>
        <v>1.0869565217391306</v>
      </c>
      <c r="P163" s="14">
        <f>N163-G163</f>
        <v>1.6000000000000014</v>
      </c>
      <c r="Q163" s="17">
        <f>IF(F163&lt;2,IF(M163&lt;2,0,1),1)</f>
        <v>1</v>
      </c>
      <c r="R163" s="18">
        <f>K163-D163</f>
        <v>0</v>
      </c>
      <c r="S163" s="17">
        <f>IF(R163&gt;0.09,1,0)</f>
        <v>0</v>
      </c>
      <c r="T163" s="17">
        <v>1</v>
      </c>
      <c r="U163" s="17"/>
      <c r="V163" s="17">
        <f>SUM(J163,Q163,S163,T163,U163)</f>
        <v>2</v>
      </c>
      <c r="W163" s="17">
        <v>3</v>
      </c>
      <c r="X163" s="17">
        <v>4</v>
      </c>
      <c r="Y163" s="12">
        <v>0</v>
      </c>
    </row>
    <row r="164" spans="1:25" s="19" customFormat="1" ht="14.25" customHeight="1" x14ac:dyDescent="0.2">
      <c r="A164" s="13">
        <v>63</v>
      </c>
      <c r="B164" s="13">
        <v>172</v>
      </c>
      <c r="C164" s="13">
        <v>92</v>
      </c>
      <c r="D164" s="15">
        <v>1</v>
      </c>
      <c r="E164" s="13"/>
      <c r="F164" s="13">
        <v>0</v>
      </c>
      <c r="G164" s="15">
        <v>17</v>
      </c>
      <c r="H164" s="13">
        <v>125</v>
      </c>
      <c r="I164" s="14">
        <f>H164/A164</f>
        <v>1.9841269841269842</v>
      </c>
      <c r="J164" s="13">
        <v>0</v>
      </c>
      <c r="K164" s="15">
        <v>1</v>
      </c>
      <c r="L164" s="13"/>
      <c r="M164" s="13">
        <v>0</v>
      </c>
      <c r="N164" s="16">
        <v>18</v>
      </c>
      <c r="O164" s="14">
        <f>N164/G164</f>
        <v>1.0588235294117647</v>
      </c>
      <c r="P164" s="14">
        <f>N164-G164</f>
        <v>1</v>
      </c>
      <c r="Q164" s="17">
        <f>IF(F164&lt;2,IF(M164&lt;2,0,1),1)</f>
        <v>0</v>
      </c>
      <c r="R164" s="18">
        <f>K164-D164</f>
        <v>0</v>
      </c>
      <c r="S164" s="17">
        <f>IF(R164&gt;0.09,1,0)</f>
        <v>0</v>
      </c>
      <c r="T164" s="17">
        <v>0</v>
      </c>
      <c r="U164" s="17"/>
      <c r="V164" s="17">
        <f>SUM(J164,Q164,S164,T164,U164)</f>
        <v>0</v>
      </c>
      <c r="W164" s="17">
        <v>1</v>
      </c>
      <c r="X164" s="17">
        <v>1</v>
      </c>
      <c r="Y164" s="12">
        <v>1</v>
      </c>
    </row>
    <row r="165" spans="1:25" s="19" customFormat="1" ht="14.25" customHeight="1" x14ac:dyDescent="0.2">
      <c r="A165" s="13">
        <v>71</v>
      </c>
      <c r="B165" s="13">
        <v>105</v>
      </c>
      <c r="C165" s="13">
        <v>65</v>
      </c>
      <c r="D165" s="15">
        <v>1</v>
      </c>
      <c r="E165" s="13"/>
      <c r="F165" s="13">
        <v>1</v>
      </c>
      <c r="G165" s="15">
        <v>10.4</v>
      </c>
      <c r="H165" s="13">
        <v>137</v>
      </c>
      <c r="I165" s="14">
        <f>H165/A165</f>
        <v>1.9295774647887325</v>
      </c>
      <c r="J165" s="13">
        <v>0</v>
      </c>
      <c r="K165" s="15">
        <v>1.1200000000000001</v>
      </c>
      <c r="L165" s="13"/>
      <c r="M165" s="13">
        <v>2</v>
      </c>
      <c r="N165" s="16">
        <v>13</v>
      </c>
      <c r="O165" s="14">
        <f>N165/G165</f>
        <v>1.25</v>
      </c>
      <c r="P165" s="14">
        <f>N165-G165</f>
        <v>2.5999999999999996</v>
      </c>
      <c r="Q165" s="17">
        <f>IF(F165&lt;2,IF(M165&lt;2,0,1),1)</f>
        <v>1</v>
      </c>
      <c r="R165" s="18">
        <f>K165-D165</f>
        <v>0.12000000000000011</v>
      </c>
      <c r="S165" s="17">
        <f>IF(R165&gt;0.09,1,0)</f>
        <v>1</v>
      </c>
      <c r="T165" s="17">
        <v>1</v>
      </c>
      <c r="U165" s="17"/>
      <c r="V165" s="17">
        <f>SUM(J165,Q165,S165,T165,U165)</f>
        <v>3</v>
      </c>
      <c r="W165" s="17">
        <v>3</v>
      </c>
      <c r="X165" s="17">
        <v>4</v>
      </c>
      <c r="Y165" s="12">
        <v>0</v>
      </c>
    </row>
    <row r="166" spans="1:25" s="19" customFormat="1" ht="14.25" customHeight="1" x14ac:dyDescent="0.2">
      <c r="A166" s="13">
        <v>57</v>
      </c>
      <c r="B166" s="13">
        <v>130</v>
      </c>
      <c r="C166" s="13">
        <v>65</v>
      </c>
      <c r="D166" s="15">
        <v>1</v>
      </c>
      <c r="E166" s="13"/>
      <c r="F166" s="13">
        <v>0</v>
      </c>
      <c r="G166" s="15"/>
      <c r="H166" s="13">
        <v>122</v>
      </c>
      <c r="I166" s="14">
        <f>H166/A166</f>
        <v>2.1403508771929824</v>
      </c>
      <c r="J166" s="13">
        <v>0</v>
      </c>
      <c r="K166" s="15">
        <v>1.06</v>
      </c>
      <c r="L166" s="13"/>
      <c r="M166" s="13">
        <v>0</v>
      </c>
      <c r="N166" s="16"/>
      <c r="O166" s="14"/>
      <c r="P166" s="14"/>
      <c r="Q166" s="17">
        <f>IF(F166&lt;2,IF(M166&lt;2,0,1),1)</f>
        <v>0</v>
      </c>
      <c r="R166" s="18">
        <f>K166-D166</f>
        <v>6.0000000000000053E-2</v>
      </c>
      <c r="S166" s="17">
        <f>IF(R166&gt;0.09,1,0)</f>
        <v>0</v>
      </c>
      <c r="T166" s="17">
        <v>1</v>
      </c>
      <c r="U166" s="17"/>
      <c r="V166" s="17">
        <f>SUM(J166,Q166,S166,T166,U166)</f>
        <v>1</v>
      </c>
      <c r="W166" s="17">
        <v>2</v>
      </c>
      <c r="X166" s="17">
        <v>3</v>
      </c>
      <c r="Y166" s="12">
        <v>1</v>
      </c>
    </row>
    <row r="167" spans="1:25" s="19" customFormat="1" ht="14.25" customHeight="1" x14ac:dyDescent="0.2">
      <c r="A167" s="13">
        <v>56</v>
      </c>
      <c r="B167" s="13">
        <v>125</v>
      </c>
      <c r="C167" s="13">
        <v>70</v>
      </c>
      <c r="D167" s="15">
        <v>1.25</v>
      </c>
      <c r="E167" s="13"/>
      <c r="F167" s="13">
        <v>0</v>
      </c>
      <c r="G167" s="15">
        <v>14</v>
      </c>
      <c r="H167" s="13">
        <v>131</v>
      </c>
      <c r="I167" s="14">
        <f>H167/A167</f>
        <v>2.3392857142857144</v>
      </c>
      <c r="J167" s="13">
        <v>0</v>
      </c>
      <c r="K167" s="15">
        <v>1.25</v>
      </c>
      <c r="L167" s="13"/>
      <c r="M167" s="13">
        <v>0</v>
      </c>
      <c r="N167" s="16">
        <v>17</v>
      </c>
      <c r="O167" s="14">
        <f>N167/G167</f>
        <v>1.2142857142857142</v>
      </c>
      <c r="P167" s="14">
        <f>N167-G167</f>
        <v>3</v>
      </c>
      <c r="Q167" s="17">
        <f>IF(F167&lt;2,IF(M167&lt;2,0,1),1)</f>
        <v>0</v>
      </c>
      <c r="R167" s="18">
        <f>K167-D167</f>
        <v>0</v>
      </c>
      <c r="S167" s="17">
        <f>IF(R167&gt;0.09,1,0)</f>
        <v>0</v>
      </c>
      <c r="T167" s="17">
        <v>1</v>
      </c>
      <c r="U167" s="17"/>
      <c r="V167" s="17">
        <f>SUM(J167,Q167,S167,T167,U167)</f>
        <v>1</v>
      </c>
      <c r="W167" s="17">
        <v>1</v>
      </c>
      <c r="X167" s="17">
        <v>2</v>
      </c>
      <c r="Y167" s="12">
        <v>0</v>
      </c>
    </row>
    <row r="168" spans="1:25" s="19" customFormat="1" ht="14.25" customHeight="1" x14ac:dyDescent="0.2">
      <c r="A168" s="13">
        <v>50</v>
      </c>
      <c r="B168" s="13">
        <v>110</v>
      </c>
      <c r="C168" s="13">
        <v>73</v>
      </c>
      <c r="D168" s="15">
        <v>1</v>
      </c>
      <c r="E168" s="13"/>
      <c r="F168" s="13">
        <v>0</v>
      </c>
      <c r="G168" s="15">
        <v>9</v>
      </c>
      <c r="H168" s="13">
        <v>82</v>
      </c>
      <c r="I168" s="14">
        <f>H168/A168</f>
        <v>1.64</v>
      </c>
      <c r="J168" s="13">
        <v>1</v>
      </c>
      <c r="K168" s="15">
        <v>1</v>
      </c>
      <c r="L168" s="13"/>
      <c r="M168" s="13">
        <v>0</v>
      </c>
      <c r="N168" s="16">
        <v>12</v>
      </c>
      <c r="O168" s="14">
        <f>N168/G168</f>
        <v>1.3333333333333333</v>
      </c>
      <c r="P168" s="14">
        <f>N168-G168</f>
        <v>3</v>
      </c>
      <c r="Q168" s="17">
        <f>IF(F168&lt;2,IF(M168&lt;2,0,1),1)</f>
        <v>0</v>
      </c>
      <c r="R168" s="18">
        <f>K168-D168</f>
        <v>0</v>
      </c>
      <c r="S168" s="17">
        <f>IF(R168&gt;0.09,1,0)</f>
        <v>0</v>
      </c>
      <c r="T168" s="17">
        <v>0</v>
      </c>
      <c r="U168" s="17"/>
      <c r="V168" s="17">
        <f>SUM(J168,Q168,S168,T168,U168)</f>
        <v>1</v>
      </c>
      <c r="W168" s="17">
        <v>2</v>
      </c>
      <c r="X168" s="17">
        <v>2</v>
      </c>
      <c r="Y168" s="12">
        <v>0</v>
      </c>
    </row>
    <row r="169" spans="1:25" s="19" customFormat="1" ht="14.25" customHeight="1" x14ac:dyDescent="0.2">
      <c r="A169" s="13">
        <v>65</v>
      </c>
      <c r="B169" s="13">
        <v>117</v>
      </c>
      <c r="C169" s="13">
        <v>75</v>
      </c>
      <c r="D169" s="15">
        <v>1.1200000000000001</v>
      </c>
      <c r="E169" s="13"/>
      <c r="F169" s="13">
        <v>0</v>
      </c>
      <c r="G169" s="15">
        <v>10</v>
      </c>
      <c r="H169" s="13">
        <v>115</v>
      </c>
      <c r="I169" s="14">
        <f>H169/A169</f>
        <v>1.7692307692307692</v>
      </c>
      <c r="J169" s="13">
        <v>1</v>
      </c>
      <c r="K169" s="15">
        <v>1.19</v>
      </c>
      <c r="L169" s="13"/>
      <c r="M169" s="13">
        <v>0</v>
      </c>
      <c r="N169" s="16">
        <v>11</v>
      </c>
      <c r="O169" s="14">
        <f>N169/G169</f>
        <v>1.1000000000000001</v>
      </c>
      <c r="P169" s="14">
        <f>N169-G169</f>
        <v>1</v>
      </c>
      <c r="Q169" s="17">
        <f>IF(F169&lt;2,IF(M169&lt;2,0,1),1)</f>
        <v>0</v>
      </c>
      <c r="R169" s="18">
        <f>K169-D169</f>
        <v>6.999999999999984E-2</v>
      </c>
      <c r="S169" s="17">
        <f>IF(R169&gt;0.09,1,0)</f>
        <v>0</v>
      </c>
      <c r="T169" s="17">
        <v>1</v>
      </c>
      <c r="U169" s="17"/>
      <c r="V169" s="17">
        <f>SUM(J169,Q169,S169,T169,U169)</f>
        <v>2</v>
      </c>
      <c r="W169" s="17">
        <v>3</v>
      </c>
      <c r="X169" s="17">
        <v>3</v>
      </c>
      <c r="Y169" s="12">
        <v>0</v>
      </c>
    </row>
    <row r="170" spans="1:25" s="19" customFormat="1" ht="14.25" customHeight="1" x14ac:dyDescent="0.2">
      <c r="A170" s="13">
        <v>54</v>
      </c>
      <c r="B170" s="13">
        <v>129</v>
      </c>
      <c r="C170" s="13">
        <v>81</v>
      </c>
      <c r="D170" s="15">
        <v>1</v>
      </c>
      <c r="E170" s="13"/>
      <c r="F170" s="13">
        <v>1</v>
      </c>
      <c r="G170" s="15">
        <v>15</v>
      </c>
      <c r="H170" s="13">
        <v>137</v>
      </c>
      <c r="I170" s="14">
        <f>H170/A170</f>
        <v>2.5370370370370372</v>
      </c>
      <c r="J170" s="13">
        <v>0</v>
      </c>
      <c r="K170" s="15">
        <v>1</v>
      </c>
      <c r="L170" s="13"/>
      <c r="M170" s="13">
        <v>6</v>
      </c>
      <c r="N170" s="16">
        <v>17</v>
      </c>
      <c r="O170" s="14">
        <f>N170/G170</f>
        <v>1.1333333333333333</v>
      </c>
      <c r="P170" s="14">
        <f>N170-G170</f>
        <v>2</v>
      </c>
      <c r="Q170" s="17">
        <f>IF(F170&lt;2,IF(M170&lt;2,0,1),1)</f>
        <v>1</v>
      </c>
      <c r="R170" s="18">
        <f>K170-D170</f>
        <v>0</v>
      </c>
      <c r="S170" s="17">
        <f>IF(R170&gt;0.09,1,0)</f>
        <v>0</v>
      </c>
      <c r="T170" s="17">
        <v>0</v>
      </c>
      <c r="U170" s="17"/>
      <c r="V170" s="17">
        <f>SUM(J170,Q170,S170,T170,U170)</f>
        <v>1</v>
      </c>
      <c r="W170" s="17">
        <v>2</v>
      </c>
      <c r="X170" s="17">
        <v>3</v>
      </c>
      <c r="Y170" s="12">
        <v>0</v>
      </c>
    </row>
    <row r="171" spans="1:25" s="19" customFormat="1" ht="14.25" customHeight="1" x14ac:dyDescent="0.2">
      <c r="A171" s="13">
        <v>65</v>
      </c>
      <c r="B171" s="13">
        <v>111</v>
      </c>
      <c r="C171" s="13">
        <v>75</v>
      </c>
      <c r="D171" s="15">
        <v>1</v>
      </c>
      <c r="E171" s="13"/>
      <c r="F171" s="13">
        <v>0</v>
      </c>
      <c r="G171" s="15"/>
      <c r="H171" s="13">
        <v>146</v>
      </c>
      <c r="I171" s="14">
        <f>H171/A171</f>
        <v>2.2461538461538462</v>
      </c>
      <c r="J171" s="13">
        <v>0</v>
      </c>
      <c r="K171" s="15">
        <v>1</v>
      </c>
      <c r="L171" s="13"/>
      <c r="M171" s="13">
        <v>0</v>
      </c>
      <c r="N171" s="16"/>
      <c r="O171" s="14"/>
      <c r="P171" s="14"/>
      <c r="Q171" s="17">
        <f>IF(F171&lt;2,IF(M171&lt;2,0,1),1)</f>
        <v>0</v>
      </c>
      <c r="R171" s="18">
        <f>K171-D171</f>
        <v>0</v>
      </c>
      <c r="S171" s="17">
        <f>IF(R171&gt;0.09,1,0)</f>
        <v>0</v>
      </c>
      <c r="T171" s="17">
        <v>1</v>
      </c>
      <c r="U171" s="17"/>
      <c r="V171" s="17">
        <f>SUM(J171,Q171,S171,T171,U171)</f>
        <v>1</v>
      </c>
      <c r="W171" s="17">
        <v>2</v>
      </c>
      <c r="X171" s="17">
        <v>3</v>
      </c>
      <c r="Y171" s="12">
        <v>0</v>
      </c>
    </row>
    <row r="172" spans="1:25" s="19" customFormat="1" ht="14.25" customHeight="1" x14ac:dyDescent="0.2">
      <c r="A172" s="13">
        <v>66</v>
      </c>
      <c r="B172" s="13">
        <v>132</v>
      </c>
      <c r="C172" s="13">
        <v>86</v>
      </c>
      <c r="D172" s="15">
        <v>1</v>
      </c>
      <c r="E172" s="13"/>
      <c r="F172" s="13">
        <v>3</v>
      </c>
      <c r="G172" s="15">
        <v>12</v>
      </c>
      <c r="H172" s="13">
        <v>126</v>
      </c>
      <c r="I172" s="14">
        <f>H172/A172</f>
        <v>1.9090909090909092</v>
      </c>
      <c r="J172" s="13">
        <v>0</v>
      </c>
      <c r="K172" s="15">
        <v>1.1200000000000001</v>
      </c>
      <c r="L172" s="13"/>
      <c r="M172" s="13">
        <v>3</v>
      </c>
      <c r="N172" s="16">
        <v>20</v>
      </c>
      <c r="O172" s="14">
        <f>N172/G172</f>
        <v>1.6666666666666667</v>
      </c>
      <c r="P172" s="14">
        <f>N172-G172</f>
        <v>8</v>
      </c>
      <c r="Q172" s="17">
        <f>IF(F172&lt;2,IF(M172&lt;2,0,1),1)</f>
        <v>1</v>
      </c>
      <c r="R172" s="18">
        <f>K172-D172</f>
        <v>0.12000000000000011</v>
      </c>
      <c r="S172" s="17">
        <f>IF(R172&gt;0.09,1,0)</f>
        <v>1</v>
      </c>
      <c r="T172" s="17">
        <v>1</v>
      </c>
      <c r="U172" s="17"/>
      <c r="V172" s="17">
        <f>SUM(J172,Q172,S172,T172,U172)</f>
        <v>3</v>
      </c>
      <c r="W172" s="17">
        <v>4</v>
      </c>
      <c r="X172" s="17">
        <v>5</v>
      </c>
      <c r="Y172" s="12">
        <v>0</v>
      </c>
    </row>
    <row r="173" spans="1:25" s="19" customFormat="1" ht="14.25" customHeight="1" x14ac:dyDescent="0.2">
      <c r="A173" s="13">
        <v>54</v>
      </c>
      <c r="B173" s="13">
        <v>120</v>
      </c>
      <c r="C173" s="13">
        <v>58</v>
      </c>
      <c r="D173" s="15">
        <v>1.25</v>
      </c>
      <c r="E173" s="13"/>
      <c r="F173" s="13">
        <v>0</v>
      </c>
      <c r="G173" s="15">
        <v>14</v>
      </c>
      <c r="H173" s="13">
        <v>126</v>
      </c>
      <c r="I173" s="14">
        <f>H173/A173</f>
        <v>2.3333333333333335</v>
      </c>
      <c r="J173" s="13">
        <v>0</v>
      </c>
      <c r="K173" s="15">
        <v>1.25</v>
      </c>
      <c r="L173" s="13"/>
      <c r="M173" s="13">
        <v>3</v>
      </c>
      <c r="N173" s="16">
        <v>17</v>
      </c>
      <c r="O173" s="14">
        <f>N173/G173</f>
        <v>1.2142857142857142</v>
      </c>
      <c r="P173" s="14">
        <f>N173-G173</f>
        <v>3</v>
      </c>
      <c r="Q173" s="17">
        <f>IF(F173&lt;2,IF(M173&lt;2,0,1),1)</f>
        <v>1</v>
      </c>
      <c r="R173" s="18">
        <f>K173-D173</f>
        <v>0</v>
      </c>
      <c r="S173" s="17">
        <f>IF(R173&gt;0.09,1,0)</f>
        <v>0</v>
      </c>
      <c r="T173" s="17">
        <v>0</v>
      </c>
      <c r="U173" s="17"/>
      <c r="V173" s="17">
        <f>SUM(J173,Q173,S173,T173,U173)</f>
        <v>1</v>
      </c>
      <c r="W173" s="17">
        <v>2</v>
      </c>
      <c r="X173" s="17">
        <v>3</v>
      </c>
      <c r="Y173" s="12">
        <v>0</v>
      </c>
    </row>
    <row r="174" spans="1:25" s="19" customFormat="1" ht="14.25" customHeight="1" x14ac:dyDescent="0.2">
      <c r="A174" s="13">
        <v>71</v>
      </c>
      <c r="B174" s="13">
        <v>175</v>
      </c>
      <c r="C174" s="13">
        <v>84</v>
      </c>
      <c r="D174" s="15">
        <v>1</v>
      </c>
      <c r="E174" s="13"/>
      <c r="F174" s="13">
        <v>0</v>
      </c>
      <c r="G174" s="15">
        <v>10</v>
      </c>
      <c r="H174" s="13">
        <v>125</v>
      </c>
      <c r="I174" s="14">
        <f>H174/A174</f>
        <v>1.7605633802816902</v>
      </c>
      <c r="J174" s="13">
        <v>1</v>
      </c>
      <c r="K174" s="15">
        <v>1</v>
      </c>
      <c r="L174" s="13"/>
      <c r="M174" s="13">
        <v>0</v>
      </c>
      <c r="N174" s="16">
        <v>17</v>
      </c>
      <c r="O174" s="14">
        <f>N174/G174</f>
        <v>1.7</v>
      </c>
      <c r="P174" s="14">
        <f>N174-G174</f>
        <v>7</v>
      </c>
      <c r="Q174" s="17">
        <f>IF(F174&lt;2,IF(M174&lt;2,0,1),1)</f>
        <v>0</v>
      </c>
      <c r="R174" s="18">
        <f>K174-D174</f>
        <v>0</v>
      </c>
      <c r="S174" s="17">
        <f>IF(R174&gt;0.09,1,0)</f>
        <v>0</v>
      </c>
      <c r="T174" s="17">
        <v>1</v>
      </c>
      <c r="U174" s="17"/>
      <c r="V174" s="17">
        <f>SUM(J174,Q174,S174,T174,U174)</f>
        <v>2</v>
      </c>
      <c r="W174" s="17">
        <v>3</v>
      </c>
      <c r="X174" s="17">
        <v>4</v>
      </c>
      <c r="Y174" s="12">
        <v>0</v>
      </c>
    </row>
    <row r="175" spans="1:25" s="19" customFormat="1" ht="14.25" customHeight="1" x14ac:dyDescent="0.2">
      <c r="A175" s="13">
        <v>57</v>
      </c>
      <c r="B175" s="13">
        <v>136</v>
      </c>
      <c r="C175" s="13">
        <v>80</v>
      </c>
      <c r="D175" s="15">
        <v>1.06</v>
      </c>
      <c r="E175" s="13"/>
      <c r="F175" s="13">
        <v>0</v>
      </c>
      <c r="G175" s="15">
        <v>18.3</v>
      </c>
      <c r="H175" s="13">
        <v>131</v>
      </c>
      <c r="I175" s="14">
        <f>H175/A175</f>
        <v>2.2982456140350878</v>
      </c>
      <c r="J175" s="13">
        <v>0</v>
      </c>
      <c r="K175" s="15">
        <v>1.19</v>
      </c>
      <c r="L175" s="13"/>
      <c r="M175" s="13">
        <v>0</v>
      </c>
      <c r="N175" s="16">
        <v>19</v>
      </c>
      <c r="O175" s="14">
        <f>N175/G175</f>
        <v>1.0382513661202186</v>
      </c>
      <c r="P175" s="14">
        <f>N175-G175</f>
        <v>0.69999999999999929</v>
      </c>
      <c r="Q175" s="17">
        <f>IF(F175&lt;2,IF(M175&lt;2,0,1),1)</f>
        <v>0</v>
      </c>
      <c r="R175" s="18">
        <f>K175-D175</f>
        <v>0.12999999999999989</v>
      </c>
      <c r="S175" s="17">
        <f>IF(R175&gt;0.09,1,0)</f>
        <v>1</v>
      </c>
      <c r="T175" s="17">
        <v>1</v>
      </c>
      <c r="U175" s="17"/>
      <c r="V175" s="17">
        <f>SUM(J175,Q175,S175,T175,U175)</f>
        <v>2</v>
      </c>
      <c r="W175" s="17">
        <v>3</v>
      </c>
      <c r="X175" s="17">
        <v>4</v>
      </c>
      <c r="Y175" s="12">
        <v>0</v>
      </c>
    </row>
    <row r="176" spans="1:25" s="19" customFormat="1" ht="14.25" customHeight="1" x14ac:dyDescent="0.2">
      <c r="A176" s="13">
        <v>75</v>
      </c>
      <c r="B176" s="13">
        <v>125</v>
      </c>
      <c r="C176" s="13">
        <v>74</v>
      </c>
      <c r="D176" s="15">
        <v>1</v>
      </c>
      <c r="E176" s="13"/>
      <c r="F176" s="13">
        <v>0</v>
      </c>
      <c r="G176" s="15">
        <v>14</v>
      </c>
      <c r="H176" s="13">
        <v>136</v>
      </c>
      <c r="I176" s="14">
        <f>H176/A176</f>
        <v>1.8133333333333332</v>
      </c>
      <c r="J176" s="13">
        <v>0</v>
      </c>
      <c r="K176" s="15">
        <v>1.19</v>
      </c>
      <c r="L176" s="13"/>
      <c r="M176" s="13">
        <v>0</v>
      </c>
      <c r="N176" s="16">
        <v>17</v>
      </c>
      <c r="O176" s="14">
        <f>N176/G176</f>
        <v>1.2142857142857142</v>
      </c>
      <c r="P176" s="14">
        <f>N176-G176</f>
        <v>3</v>
      </c>
      <c r="Q176" s="17">
        <f>IF(F176&lt;2,IF(M176&lt;2,0,1),1)</f>
        <v>0</v>
      </c>
      <c r="R176" s="18">
        <f>K176-D176</f>
        <v>0.18999999999999995</v>
      </c>
      <c r="S176" s="17">
        <f>IF(R176&gt;0.09,1,0)</f>
        <v>1</v>
      </c>
      <c r="T176" s="17">
        <v>1</v>
      </c>
      <c r="U176" s="17"/>
      <c r="V176" s="17">
        <f>SUM(J176,Q176,S176,T176,U176)</f>
        <v>2</v>
      </c>
      <c r="W176" s="17">
        <v>2</v>
      </c>
      <c r="X176" s="17">
        <v>3</v>
      </c>
      <c r="Y176" s="12">
        <v>1</v>
      </c>
    </row>
    <row r="177" spans="1:25" s="19" customFormat="1" ht="14.25" customHeight="1" x14ac:dyDescent="0.2">
      <c r="A177" s="13">
        <v>64</v>
      </c>
      <c r="B177" s="13">
        <v>129</v>
      </c>
      <c r="C177" s="13">
        <v>62</v>
      </c>
      <c r="D177" s="15">
        <v>1</v>
      </c>
      <c r="E177" s="13"/>
      <c r="F177" s="13">
        <v>0</v>
      </c>
      <c r="G177" s="15"/>
      <c r="H177" s="13">
        <v>121</v>
      </c>
      <c r="I177" s="14">
        <f>H177/A177</f>
        <v>1.890625</v>
      </c>
      <c r="J177" s="13">
        <v>0</v>
      </c>
      <c r="K177" s="15">
        <v>1.38</v>
      </c>
      <c r="L177" s="13"/>
      <c r="M177" s="13">
        <v>0</v>
      </c>
      <c r="N177" s="16"/>
      <c r="O177" s="14"/>
      <c r="P177" s="14"/>
      <c r="Q177" s="17">
        <f>IF(F177&lt;2,IF(M177&lt;2,0,1),1)</f>
        <v>0</v>
      </c>
      <c r="R177" s="18">
        <f>K177-D177</f>
        <v>0.37999999999999989</v>
      </c>
      <c r="S177" s="17">
        <f>IF(R177&gt;0.09,1,0)</f>
        <v>1</v>
      </c>
      <c r="T177" s="17">
        <v>1</v>
      </c>
      <c r="U177" s="17"/>
      <c r="V177" s="17">
        <f>SUM(J177,Q177,S177,T177,U177)</f>
        <v>2</v>
      </c>
      <c r="W177" s="17">
        <v>3</v>
      </c>
      <c r="X177" s="17">
        <v>4</v>
      </c>
      <c r="Y177" s="12">
        <v>1</v>
      </c>
    </row>
    <row r="178" spans="1:25" s="19" customFormat="1" ht="14.25" customHeight="1" x14ac:dyDescent="0.2">
      <c r="A178" s="13">
        <v>103</v>
      </c>
      <c r="B178" s="13">
        <v>145</v>
      </c>
      <c r="C178" s="13">
        <v>68</v>
      </c>
      <c r="D178" s="15">
        <v>1</v>
      </c>
      <c r="E178" s="13"/>
      <c r="F178" s="13">
        <v>0</v>
      </c>
      <c r="G178" s="15"/>
      <c r="H178" s="13">
        <v>171</v>
      </c>
      <c r="I178" s="14">
        <f>H178/A178</f>
        <v>1.6601941747572815</v>
      </c>
      <c r="J178" s="13">
        <v>1</v>
      </c>
      <c r="K178" s="15">
        <v>1</v>
      </c>
      <c r="L178" s="13"/>
      <c r="M178" s="13">
        <v>0</v>
      </c>
      <c r="N178" s="16"/>
      <c r="O178" s="14"/>
      <c r="P178" s="14"/>
      <c r="Q178" s="17">
        <f>IF(F178&lt;2,IF(M178&lt;2,0,1),1)</f>
        <v>0</v>
      </c>
      <c r="R178" s="18">
        <f>K178-D178</f>
        <v>0</v>
      </c>
      <c r="S178" s="17">
        <f>IF(R178&gt;0.09,1,0)</f>
        <v>0</v>
      </c>
      <c r="T178" s="17">
        <v>0</v>
      </c>
      <c r="U178" s="17"/>
      <c r="V178" s="17">
        <f>SUM(J178,Q178,S178,T178,U178)</f>
        <v>1</v>
      </c>
      <c r="W178" s="17">
        <v>1</v>
      </c>
      <c r="X178" s="17">
        <v>2</v>
      </c>
      <c r="Y178" s="12">
        <v>0</v>
      </c>
    </row>
    <row r="179" spans="1:25" s="19" customFormat="1" ht="14.25" customHeight="1" x14ac:dyDescent="0.2">
      <c r="A179" s="13">
        <v>65</v>
      </c>
      <c r="B179" s="13">
        <v>112</v>
      </c>
      <c r="C179" s="13">
        <v>76</v>
      </c>
      <c r="D179" s="15">
        <v>1</v>
      </c>
      <c r="E179" s="13"/>
      <c r="F179" s="13">
        <v>0</v>
      </c>
      <c r="G179" s="15">
        <v>15</v>
      </c>
      <c r="H179" s="13">
        <v>130</v>
      </c>
      <c r="I179" s="14">
        <f>H179/A179</f>
        <v>2</v>
      </c>
      <c r="J179" s="13">
        <v>0</v>
      </c>
      <c r="K179" s="15">
        <v>1.25</v>
      </c>
      <c r="L179" s="13"/>
      <c r="M179" s="13">
        <v>0</v>
      </c>
      <c r="N179" s="16"/>
      <c r="O179" s="14"/>
      <c r="P179" s="14"/>
      <c r="Q179" s="17">
        <f>IF(F179&lt;2,IF(M179&lt;2,0,1),1)</f>
        <v>0</v>
      </c>
      <c r="R179" s="18">
        <f>K179-D179</f>
        <v>0.25</v>
      </c>
      <c r="S179" s="17">
        <f>IF(R179&gt;0.09,1,0)</f>
        <v>1</v>
      </c>
      <c r="T179" s="17">
        <v>0</v>
      </c>
      <c r="U179" s="17"/>
      <c r="V179" s="17">
        <f>SUM(J179,Q179,S179,T179,U179)</f>
        <v>1</v>
      </c>
      <c r="W179" s="17">
        <v>2</v>
      </c>
      <c r="X179" s="17">
        <v>3</v>
      </c>
      <c r="Y179" s="12">
        <v>0</v>
      </c>
    </row>
    <row r="180" spans="1:25" s="19" customFormat="1" ht="14.25" customHeight="1" x14ac:dyDescent="0.2">
      <c r="A180" s="13">
        <v>55</v>
      </c>
      <c r="B180" s="13">
        <v>116</v>
      </c>
      <c r="C180" s="13">
        <v>74</v>
      </c>
      <c r="D180" s="15">
        <v>1</v>
      </c>
      <c r="E180" s="13"/>
      <c r="F180" s="13">
        <v>0</v>
      </c>
      <c r="G180" s="15">
        <v>15</v>
      </c>
      <c r="H180" s="13">
        <v>139</v>
      </c>
      <c r="I180" s="14">
        <f>H180/A180</f>
        <v>2.5272727272727273</v>
      </c>
      <c r="J180" s="13">
        <v>0</v>
      </c>
      <c r="K180" s="15">
        <v>1.1200000000000001</v>
      </c>
      <c r="L180" s="13"/>
      <c r="M180" s="13">
        <v>0</v>
      </c>
      <c r="N180" s="16">
        <v>19.399999999999999</v>
      </c>
      <c r="O180" s="14">
        <f>N180/G180</f>
        <v>1.2933333333333332</v>
      </c>
      <c r="P180" s="14">
        <f>N180-G180</f>
        <v>4.3999999999999986</v>
      </c>
      <c r="Q180" s="17">
        <f>IF(F180&lt;2,IF(M180&lt;2,0,1),1)</f>
        <v>0</v>
      </c>
      <c r="R180" s="18">
        <f>K180-D180</f>
        <v>0.12000000000000011</v>
      </c>
      <c r="S180" s="17">
        <f>IF(R180&gt;0.09,1,0)</f>
        <v>1</v>
      </c>
      <c r="T180" s="17">
        <v>0</v>
      </c>
      <c r="U180" s="17"/>
      <c r="V180" s="17">
        <f>SUM(J180,Q180,S180,T180,U180)</f>
        <v>1</v>
      </c>
      <c r="W180" s="17">
        <v>1</v>
      </c>
      <c r="X180" s="17">
        <v>2</v>
      </c>
      <c r="Y180" s="12">
        <v>0</v>
      </c>
    </row>
    <row r="181" spans="1:25" s="19" customFormat="1" ht="14.25" customHeight="1" x14ac:dyDescent="0.2">
      <c r="A181" s="13">
        <v>75</v>
      </c>
      <c r="B181" s="13">
        <v>118</v>
      </c>
      <c r="C181" s="13">
        <v>77</v>
      </c>
      <c r="D181" s="15">
        <v>1</v>
      </c>
      <c r="E181" s="13"/>
      <c r="F181" s="13">
        <v>4</v>
      </c>
      <c r="G181" s="15">
        <v>14.2</v>
      </c>
      <c r="H181" s="13">
        <v>144</v>
      </c>
      <c r="I181" s="14">
        <f>H181/A181</f>
        <v>1.92</v>
      </c>
      <c r="J181" s="13">
        <v>0</v>
      </c>
      <c r="K181" s="15">
        <v>1</v>
      </c>
      <c r="L181" s="13"/>
      <c r="M181" s="13">
        <v>3</v>
      </c>
      <c r="N181" s="16">
        <v>18.899999999999999</v>
      </c>
      <c r="O181" s="14">
        <f>N181/G181</f>
        <v>1.3309859154929577</v>
      </c>
      <c r="P181" s="14">
        <f>N181-G181</f>
        <v>4.6999999999999993</v>
      </c>
      <c r="Q181" s="17">
        <f>IF(F181&lt;2,IF(M181&lt;2,0,1),1)</f>
        <v>1</v>
      </c>
      <c r="R181" s="18">
        <f>K181-D181</f>
        <v>0</v>
      </c>
      <c r="S181" s="17">
        <f>IF(R181&gt;0.09,1,0)</f>
        <v>0</v>
      </c>
      <c r="T181" s="17">
        <v>0</v>
      </c>
      <c r="U181" s="17"/>
      <c r="V181" s="17">
        <f>SUM(J181,Q181,S181,T181,U181)</f>
        <v>1</v>
      </c>
      <c r="W181" s="17">
        <v>1</v>
      </c>
      <c r="X181" s="17">
        <v>2</v>
      </c>
      <c r="Y181" s="12">
        <v>1</v>
      </c>
    </row>
    <row r="182" spans="1:25" s="19" customFormat="1" ht="14.25" customHeight="1" x14ac:dyDescent="0.2">
      <c r="A182" s="13">
        <v>76</v>
      </c>
      <c r="B182" s="13">
        <v>112</v>
      </c>
      <c r="C182" s="13">
        <v>74</v>
      </c>
      <c r="D182" s="15">
        <v>1</v>
      </c>
      <c r="E182" s="13"/>
      <c r="F182" s="13">
        <v>1</v>
      </c>
      <c r="G182" s="15">
        <v>17.3</v>
      </c>
      <c r="H182" s="13">
        <v>125</v>
      </c>
      <c r="I182" s="14">
        <f>H182/A182</f>
        <v>1.6447368421052631</v>
      </c>
      <c r="J182" s="13">
        <v>1</v>
      </c>
      <c r="K182" s="15">
        <v>1</v>
      </c>
      <c r="L182" s="13"/>
      <c r="M182" s="13">
        <v>3</v>
      </c>
      <c r="N182" s="16">
        <v>16.5</v>
      </c>
      <c r="O182" s="14">
        <f>N182/G182</f>
        <v>0.95375722543352592</v>
      </c>
      <c r="P182" s="14">
        <f>N182-G182</f>
        <v>-0.80000000000000071</v>
      </c>
      <c r="Q182" s="17">
        <f>IF(F182&lt;2,IF(M182&lt;2,0,1),1)</f>
        <v>1</v>
      </c>
      <c r="R182" s="18">
        <f>K182-D182</f>
        <v>0</v>
      </c>
      <c r="S182" s="17">
        <f>IF(R182&gt;0.09,1,0)</f>
        <v>0</v>
      </c>
      <c r="T182" s="17">
        <v>0</v>
      </c>
      <c r="U182" s="17"/>
      <c r="V182" s="17">
        <f>SUM(J182,Q182,S182,T182,U182)</f>
        <v>2</v>
      </c>
      <c r="W182" s="17">
        <v>3</v>
      </c>
      <c r="X182" s="17">
        <v>3</v>
      </c>
      <c r="Y182" s="12">
        <v>0</v>
      </c>
    </row>
    <row r="183" spans="1:25" s="19" customFormat="1" ht="14.25" customHeight="1" x14ac:dyDescent="0.2">
      <c r="A183" s="13">
        <v>68</v>
      </c>
      <c r="B183" s="13">
        <v>108</v>
      </c>
      <c r="C183" s="13">
        <v>67</v>
      </c>
      <c r="D183" s="15">
        <v>1</v>
      </c>
      <c r="E183" s="13"/>
      <c r="F183" s="13">
        <v>0</v>
      </c>
      <c r="G183" s="15">
        <v>17</v>
      </c>
      <c r="H183" s="13">
        <v>138</v>
      </c>
      <c r="I183" s="14">
        <f>H183/A183</f>
        <v>2.0294117647058822</v>
      </c>
      <c r="J183" s="13">
        <v>0</v>
      </c>
      <c r="K183" s="15">
        <v>1.1200000000000001</v>
      </c>
      <c r="L183" s="13"/>
      <c r="M183" s="13">
        <v>0</v>
      </c>
      <c r="N183" s="16">
        <v>15.7</v>
      </c>
      <c r="O183" s="14">
        <f>N183/G183</f>
        <v>0.92352941176470582</v>
      </c>
      <c r="P183" s="14">
        <f>N183-G183</f>
        <v>-1.3000000000000007</v>
      </c>
      <c r="Q183" s="17">
        <f>IF(F183&lt;2,IF(M183&lt;2,0,1),1)</f>
        <v>0</v>
      </c>
      <c r="R183" s="18">
        <f>K183-D183</f>
        <v>0.12000000000000011</v>
      </c>
      <c r="S183" s="17">
        <f>IF(R183&gt;0.09,1,0)</f>
        <v>1</v>
      </c>
      <c r="T183" s="17">
        <v>0</v>
      </c>
      <c r="U183" s="17"/>
      <c r="V183" s="17">
        <f>SUM(J183,Q183,S183,T183,U183)</f>
        <v>1</v>
      </c>
      <c r="W183" s="17">
        <v>1</v>
      </c>
      <c r="X183" s="17">
        <v>2</v>
      </c>
      <c r="Y183" s="12">
        <v>0</v>
      </c>
    </row>
    <row r="184" spans="1:25" s="19" customFormat="1" ht="14.25" customHeight="1" x14ac:dyDescent="0.2">
      <c r="A184" s="13">
        <v>67</v>
      </c>
      <c r="B184" s="13">
        <v>112</v>
      </c>
      <c r="C184" s="13">
        <v>63</v>
      </c>
      <c r="D184" s="15">
        <v>1</v>
      </c>
      <c r="E184" s="13"/>
      <c r="F184" s="13">
        <v>0</v>
      </c>
      <c r="G184" s="15">
        <v>18</v>
      </c>
      <c r="H184" s="13">
        <v>116</v>
      </c>
      <c r="I184" s="14">
        <f>H184/A184</f>
        <v>1.7313432835820894</v>
      </c>
      <c r="J184" s="13">
        <v>1</v>
      </c>
      <c r="K184" s="15">
        <v>1</v>
      </c>
      <c r="L184" s="13"/>
      <c r="M184" s="13">
        <v>6</v>
      </c>
      <c r="N184" s="16">
        <v>21</v>
      </c>
      <c r="O184" s="14">
        <f>N184/G184</f>
        <v>1.1666666666666667</v>
      </c>
      <c r="P184" s="14">
        <f>N184-G184</f>
        <v>3</v>
      </c>
      <c r="Q184" s="17">
        <f>IF(F184&lt;2,IF(M184&lt;2,0,1),1)</f>
        <v>1</v>
      </c>
      <c r="R184" s="18">
        <f>K184-D184</f>
        <v>0</v>
      </c>
      <c r="S184" s="17">
        <f>IF(R184&gt;0.09,1,0)</f>
        <v>0</v>
      </c>
      <c r="T184" s="17">
        <v>0</v>
      </c>
      <c r="U184" s="17"/>
      <c r="V184" s="17">
        <f>SUM(J184,Q184,S184,T184,U184)</f>
        <v>2</v>
      </c>
      <c r="W184" s="17">
        <v>3</v>
      </c>
      <c r="X184" s="17">
        <v>3</v>
      </c>
      <c r="Y184" s="12">
        <v>0</v>
      </c>
    </row>
    <row r="185" spans="1:25" s="25" customFormat="1" ht="14.25" customHeight="1" x14ac:dyDescent="0.2">
      <c r="A185" s="21">
        <v>60</v>
      </c>
      <c r="B185" s="21">
        <v>119</v>
      </c>
      <c r="C185" s="21">
        <v>75</v>
      </c>
      <c r="D185" s="22">
        <v>1</v>
      </c>
      <c r="E185" s="21"/>
      <c r="F185" s="21">
        <v>2</v>
      </c>
      <c r="G185" s="22">
        <v>14</v>
      </c>
      <c r="H185" s="21">
        <v>118</v>
      </c>
      <c r="I185" s="22">
        <f>H185/A185</f>
        <v>1.9666666666666666</v>
      </c>
      <c r="J185" s="21">
        <v>0</v>
      </c>
      <c r="K185" s="22">
        <v>1.1200000000000001</v>
      </c>
      <c r="L185" s="21"/>
      <c r="M185" s="21">
        <v>3</v>
      </c>
      <c r="N185" s="23">
        <v>17</v>
      </c>
      <c r="O185" s="22">
        <f>N185/G185</f>
        <v>1.2142857142857142</v>
      </c>
      <c r="P185" s="22">
        <f>N185-G185</f>
        <v>3</v>
      </c>
      <c r="Q185" s="21">
        <f>IF(F185&lt;2,IF(M185&lt;2,0,1),1)</f>
        <v>1</v>
      </c>
      <c r="R185" s="24">
        <f>K185-D185</f>
        <v>0.12000000000000011</v>
      </c>
      <c r="S185" s="21">
        <f>IF(R185&gt;0.09,1,0)</f>
        <v>1</v>
      </c>
      <c r="T185" s="21">
        <v>1</v>
      </c>
      <c r="U185" s="21"/>
      <c r="V185" s="21">
        <f>SUM(J185,Q185,S185,T185,U185)</f>
        <v>3</v>
      </c>
      <c r="W185" s="21">
        <v>4</v>
      </c>
      <c r="X185" s="21">
        <v>4</v>
      </c>
      <c r="Y185" s="20">
        <v>0</v>
      </c>
    </row>
    <row r="186" spans="1:25" s="19" customFormat="1" ht="14.25" customHeight="1" x14ac:dyDescent="0.2">
      <c r="A186" s="13">
        <v>52</v>
      </c>
      <c r="B186" s="13">
        <v>116</v>
      </c>
      <c r="C186" s="13">
        <v>89</v>
      </c>
      <c r="D186" s="15">
        <v>1.1200000000000001</v>
      </c>
      <c r="E186" s="13"/>
      <c r="F186" s="13">
        <v>2</v>
      </c>
      <c r="G186" s="15">
        <v>14.6</v>
      </c>
      <c r="H186" s="13">
        <v>137</v>
      </c>
      <c r="I186" s="14">
        <f>H186/A186</f>
        <v>2.6346153846153846</v>
      </c>
      <c r="J186" s="13">
        <v>0</v>
      </c>
      <c r="K186" s="15">
        <v>1.31</v>
      </c>
      <c r="L186" s="13"/>
      <c r="M186" s="13">
        <v>3</v>
      </c>
      <c r="N186" s="16">
        <v>20</v>
      </c>
      <c r="O186" s="14">
        <f>N186/G186</f>
        <v>1.3698630136986301</v>
      </c>
      <c r="P186" s="14">
        <f>N186-G186</f>
        <v>5.4</v>
      </c>
      <c r="Q186" s="17">
        <f>IF(F186&lt;2,IF(M186&lt;2,0,1),1)</f>
        <v>1</v>
      </c>
      <c r="R186" s="18">
        <f>K186-D186</f>
        <v>0.18999999999999995</v>
      </c>
      <c r="S186" s="17">
        <f>IF(R186&gt;0.09,1,0)</f>
        <v>1</v>
      </c>
      <c r="T186" s="17">
        <v>1</v>
      </c>
      <c r="U186" s="17"/>
      <c r="V186" s="17">
        <f>SUM(J186,Q186,S186,T186,U186)</f>
        <v>3</v>
      </c>
      <c r="W186" s="17">
        <v>4</v>
      </c>
      <c r="X186" s="17">
        <v>5</v>
      </c>
      <c r="Y186" s="12">
        <v>0</v>
      </c>
    </row>
    <row r="187" spans="1:25" s="19" customFormat="1" ht="14.25" customHeight="1" x14ac:dyDescent="0.2">
      <c r="A187" s="13">
        <v>67</v>
      </c>
      <c r="B187" s="13">
        <v>110</v>
      </c>
      <c r="C187" s="13">
        <v>77</v>
      </c>
      <c r="D187" s="15">
        <v>1</v>
      </c>
      <c r="E187" s="13"/>
      <c r="F187" s="13">
        <v>0</v>
      </c>
      <c r="G187" s="15">
        <v>15</v>
      </c>
      <c r="H187" s="13">
        <v>144</v>
      </c>
      <c r="I187" s="14">
        <f>H187/A187</f>
        <v>2.1492537313432836</v>
      </c>
      <c r="J187" s="13">
        <v>0</v>
      </c>
      <c r="K187" s="15">
        <v>1</v>
      </c>
      <c r="L187" s="13"/>
      <c r="M187" s="13">
        <v>0</v>
      </c>
      <c r="N187" s="16">
        <v>16</v>
      </c>
      <c r="O187" s="14">
        <f>N187/G187</f>
        <v>1.0666666666666667</v>
      </c>
      <c r="P187" s="14">
        <f>N187-G187</f>
        <v>1</v>
      </c>
      <c r="Q187" s="17">
        <f>IF(F187&lt;2,IF(M187&lt;2,0,1),1)</f>
        <v>0</v>
      </c>
      <c r="R187" s="18">
        <f>K187-D187</f>
        <v>0</v>
      </c>
      <c r="S187" s="17">
        <f>IF(R187&gt;0.09,1,0)</f>
        <v>0</v>
      </c>
      <c r="T187" s="17">
        <v>1</v>
      </c>
      <c r="U187" s="17"/>
      <c r="V187" s="17">
        <f>SUM(J187,Q187,S187,T187,U187)</f>
        <v>1</v>
      </c>
      <c r="W187" s="17">
        <v>2</v>
      </c>
      <c r="X187" s="17">
        <v>3</v>
      </c>
      <c r="Y187" s="12">
        <v>1</v>
      </c>
    </row>
    <row r="188" spans="1:25" s="19" customFormat="1" ht="14.25" customHeight="1" x14ac:dyDescent="0.2">
      <c r="A188" s="13">
        <v>60</v>
      </c>
      <c r="B188" s="13">
        <v>131</v>
      </c>
      <c r="C188" s="13">
        <v>82</v>
      </c>
      <c r="D188" s="15">
        <v>1</v>
      </c>
      <c r="E188" s="13"/>
      <c r="F188" s="13">
        <v>1</v>
      </c>
      <c r="G188" s="15">
        <v>17.7</v>
      </c>
      <c r="H188" s="13">
        <v>136</v>
      </c>
      <c r="I188" s="14">
        <f>H188/A188</f>
        <v>2.2666666666666666</v>
      </c>
      <c r="J188" s="13">
        <v>0</v>
      </c>
      <c r="K188" s="15">
        <v>1</v>
      </c>
      <c r="L188" s="13"/>
      <c r="M188" s="13">
        <v>3</v>
      </c>
      <c r="N188" s="16">
        <v>18.8</v>
      </c>
      <c r="O188" s="14">
        <f>N188/G188</f>
        <v>1.0621468926553672</v>
      </c>
      <c r="P188" s="14">
        <f>N188-G188</f>
        <v>1.1000000000000014</v>
      </c>
      <c r="Q188" s="17">
        <f>IF(F188&lt;2,IF(M188&lt;2,0,1),1)</f>
        <v>1</v>
      </c>
      <c r="R188" s="18">
        <f>K188-D188</f>
        <v>0</v>
      </c>
      <c r="S188" s="17">
        <f>IF(R188&gt;0.09,1,0)</f>
        <v>0</v>
      </c>
      <c r="T188" s="17">
        <v>0</v>
      </c>
      <c r="U188" s="17"/>
      <c r="V188" s="17">
        <f>SUM(J188,Q188,S188,T188,U188)</f>
        <v>1</v>
      </c>
      <c r="W188" s="17">
        <v>2</v>
      </c>
      <c r="X188" s="17">
        <v>2</v>
      </c>
      <c r="Y188" s="12">
        <v>0</v>
      </c>
    </row>
    <row r="189" spans="1:25" s="19" customFormat="1" ht="14.25" customHeight="1" x14ac:dyDescent="0.2">
      <c r="A189" s="13">
        <v>80</v>
      </c>
      <c r="B189" s="13">
        <v>128</v>
      </c>
      <c r="C189" s="13">
        <v>91</v>
      </c>
      <c r="D189" s="15">
        <v>1</v>
      </c>
      <c r="E189" s="13">
        <v>31</v>
      </c>
      <c r="F189" s="13">
        <v>1</v>
      </c>
      <c r="G189" s="15">
        <v>16.3</v>
      </c>
      <c r="H189" s="13">
        <v>120</v>
      </c>
      <c r="I189" s="14">
        <f>H189/A189</f>
        <v>1.5</v>
      </c>
      <c r="J189" s="13">
        <v>1</v>
      </c>
      <c r="K189" s="15">
        <v>1.44</v>
      </c>
      <c r="L189" s="13">
        <v>40</v>
      </c>
      <c r="M189" s="13">
        <v>0</v>
      </c>
      <c r="N189" s="16">
        <v>16.600000000000001</v>
      </c>
      <c r="O189" s="14">
        <f>N189/G189</f>
        <v>1.0184049079754602</v>
      </c>
      <c r="P189" s="14">
        <f>N189-G189</f>
        <v>0.30000000000000071</v>
      </c>
      <c r="Q189" s="17">
        <f>IF(F189&lt;2,IF(M189&lt;2,0,1),1)</f>
        <v>0</v>
      </c>
      <c r="R189" s="18">
        <f>K189-D189</f>
        <v>0.43999999999999995</v>
      </c>
      <c r="S189" s="17">
        <f>IF(R189&gt;0.09,1,0)</f>
        <v>1</v>
      </c>
      <c r="T189" s="17">
        <v>1</v>
      </c>
      <c r="U189" s="17">
        <v>1</v>
      </c>
      <c r="V189" s="17">
        <f>SUM(J189,Q189,S189,T189,U189)</f>
        <v>4</v>
      </c>
      <c r="W189" s="17">
        <v>5</v>
      </c>
      <c r="X189" s="17">
        <v>6</v>
      </c>
      <c r="Y189" s="12">
        <v>1</v>
      </c>
    </row>
    <row r="190" spans="1:25" s="19" customFormat="1" ht="14.25" customHeight="1" x14ac:dyDescent="0.2">
      <c r="A190" s="13">
        <v>63</v>
      </c>
      <c r="B190" s="13">
        <v>129</v>
      </c>
      <c r="C190" s="13">
        <v>89</v>
      </c>
      <c r="D190" s="15">
        <v>1.06</v>
      </c>
      <c r="E190" s="13">
        <v>23</v>
      </c>
      <c r="F190" s="13">
        <v>8</v>
      </c>
      <c r="G190" s="15">
        <v>22</v>
      </c>
      <c r="H190" s="13">
        <v>92</v>
      </c>
      <c r="I190" s="14">
        <f>H190/A190</f>
        <v>1.4603174603174602</v>
      </c>
      <c r="J190" s="13">
        <v>1</v>
      </c>
      <c r="K190" s="15">
        <v>1.25</v>
      </c>
      <c r="L190" s="13">
        <v>38</v>
      </c>
      <c r="M190" s="13"/>
      <c r="N190" s="16">
        <v>24.3</v>
      </c>
      <c r="O190" s="14">
        <f>N190/G190</f>
        <v>1.1045454545454545</v>
      </c>
      <c r="P190" s="14">
        <f>N190-G190</f>
        <v>2.3000000000000007</v>
      </c>
      <c r="Q190" s="17"/>
      <c r="R190" s="18">
        <f>K190-D190</f>
        <v>0.18999999999999995</v>
      </c>
      <c r="S190" s="17">
        <f>IF(R190&gt;0.09,1,0)</f>
        <v>1</v>
      </c>
      <c r="T190" s="17">
        <v>0</v>
      </c>
      <c r="U190" s="17">
        <v>1</v>
      </c>
      <c r="V190" s="17">
        <f>SUM(J190,Q190,S190,T190,U190)</f>
        <v>3</v>
      </c>
      <c r="W190" s="17">
        <v>4</v>
      </c>
      <c r="X190" s="17">
        <v>5</v>
      </c>
      <c r="Y190" s="19">
        <v>0</v>
      </c>
    </row>
    <row r="191" spans="1:25" s="19" customFormat="1" ht="14.25" customHeight="1" x14ac:dyDescent="0.2">
      <c r="A191" s="13">
        <v>67</v>
      </c>
      <c r="B191" s="13">
        <v>124</v>
      </c>
      <c r="C191" s="13">
        <v>62</v>
      </c>
      <c r="D191" s="15">
        <v>1</v>
      </c>
      <c r="E191" s="13">
        <v>23</v>
      </c>
      <c r="F191" s="13">
        <v>1</v>
      </c>
      <c r="G191" s="15"/>
      <c r="H191" s="13">
        <v>115</v>
      </c>
      <c r="I191" s="14">
        <f>H191/A191</f>
        <v>1.7164179104477613</v>
      </c>
      <c r="J191" s="13">
        <v>1</v>
      </c>
      <c r="K191" s="15">
        <v>1.06</v>
      </c>
      <c r="L191" s="13">
        <v>64</v>
      </c>
      <c r="M191" s="13">
        <v>0</v>
      </c>
      <c r="N191" s="16"/>
      <c r="O191" s="14"/>
      <c r="P191" s="14"/>
      <c r="Q191" s="17">
        <f>IF(F191&lt;2,IF(M191&lt;2,0,1),1)</f>
        <v>0</v>
      </c>
      <c r="R191" s="18">
        <f>K191-D191</f>
        <v>6.0000000000000053E-2</v>
      </c>
      <c r="S191" s="17">
        <f>IF(R191&gt;0.09,1,0)</f>
        <v>0</v>
      </c>
      <c r="T191" s="17">
        <v>0</v>
      </c>
      <c r="U191" s="17">
        <v>0</v>
      </c>
      <c r="V191" s="17">
        <f>SUM(J191,Q191,S191,T191,U191)</f>
        <v>1</v>
      </c>
      <c r="W191" s="17">
        <v>2</v>
      </c>
      <c r="X191" s="17">
        <v>3</v>
      </c>
      <c r="Y191" s="12">
        <v>1</v>
      </c>
    </row>
    <row r="192" spans="1:25" s="19" customFormat="1" ht="14.25" customHeight="1" x14ac:dyDescent="0.2">
      <c r="A192" s="13">
        <v>59</v>
      </c>
      <c r="B192" s="13">
        <v>130</v>
      </c>
      <c r="C192" s="13">
        <v>90</v>
      </c>
      <c r="D192" s="15">
        <v>1</v>
      </c>
      <c r="E192" s="13">
        <v>39</v>
      </c>
      <c r="F192" s="13">
        <v>1</v>
      </c>
      <c r="G192" s="15"/>
      <c r="H192" s="13">
        <v>76</v>
      </c>
      <c r="I192" s="14">
        <f>H192/A192</f>
        <v>1.2881355932203389</v>
      </c>
      <c r="J192" s="13">
        <v>0</v>
      </c>
      <c r="K192" s="15">
        <v>1</v>
      </c>
      <c r="L192" s="13">
        <v>129</v>
      </c>
      <c r="M192" s="13">
        <v>0</v>
      </c>
      <c r="N192" s="16"/>
      <c r="O192" s="14"/>
      <c r="P192" s="14"/>
      <c r="Q192" s="17">
        <f>IF(F192&lt;2,IF(M192&lt;2,0,1),1)</f>
        <v>0</v>
      </c>
      <c r="R192" s="18">
        <f>K192-D192</f>
        <v>0</v>
      </c>
      <c r="S192" s="17">
        <f>IF(R192&gt;0.09,1,0)</f>
        <v>0</v>
      </c>
      <c r="T192" s="17">
        <v>1</v>
      </c>
      <c r="U192" s="17">
        <v>0</v>
      </c>
      <c r="V192" s="17">
        <f>SUM(J192,Q192,S192,T192,U192)</f>
        <v>1</v>
      </c>
      <c r="W192" s="17">
        <v>1</v>
      </c>
      <c r="X192" s="17">
        <v>1</v>
      </c>
      <c r="Y192" s="12"/>
    </row>
    <row r="193" spans="1:25" s="19" customFormat="1" ht="14.25" customHeight="1" x14ac:dyDescent="0.2">
      <c r="A193" s="13">
        <v>65</v>
      </c>
      <c r="B193" s="13">
        <v>144</v>
      </c>
      <c r="C193" s="13">
        <v>89</v>
      </c>
      <c r="D193" s="15">
        <v>1</v>
      </c>
      <c r="E193" s="13">
        <v>35</v>
      </c>
      <c r="F193" s="13">
        <v>0</v>
      </c>
      <c r="G193" s="15"/>
      <c r="H193" s="13">
        <v>93</v>
      </c>
      <c r="I193" s="14">
        <f>H193/A193</f>
        <v>1.4307692307692308</v>
      </c>
      <c r="J193" s="13">
        <v>1</v>
      </c>
      <c r="K193" s="15">
        <v>1.31</v>
      </c>
      <c r="L193" s="13">
        <v>46</v>
      </c>
      <c r="M193" s="13">
        <v>0</v>
      </c>
      <c r="N193" s="16"/>
      <c r="O193" s="14"/>
      <c r="P193" s="14"/>
      <c r="Q193" s="17">
        <f>IF(F193&lt;2,IF(M193&lt;2,0,1),1)</f>
        <v>0</v>
      </c>
      <c r="R193" s="18">
        <f>K193-D193</f>
        <v>0.31000000000000005</v>
      </c>
      <c r="S193" s="17">
        <f>IF(R193&gt;0.09,1,0)</f>
        <v>1</v>
      </c>
      <c r="T193" s="17">
        <v>1</v>
      </c>
      <c r="U193" s="17">
        <v>1</v>
      </c>
      <c r="V193" s="17">
        <f>SUM(J193,Q193,S193,T193,U193)</f>
        <v>4</v>
      </c>
      <c r="W193" s="17">
        <v>5</v>
      </c>
      <c r="X193" s="17">
        <v>5</v>
      </c>
      <c r="Y193" s="12">
        <v>1</v>
      </c>
    </row>
    <row r="194" spans="1:25" s="19" customFormat="1" ht="14.25" customHeight="1" x14ac:dyDescent="0.2">
      <c r="A194" s="13">
        <v>66</v>
      </c>
      <c r="B194" s="13">
        <v>141</v>
      </c>
      <c r="C194" s="13">
        <v>89</v>
      </c>
      <c r="D194" s="15">
        <v>1</v>
      </c>
      <c r="E194" s="13">
        <v>23</v>
      </c>
      <c r="F194" s="13">
        <v>0</v>
      </c>
      <c r="G194" s="15">
        <v>14.5</v>
      </c>
      <c r="H194" s="13">
        <v>101</v>
      </c>
      <c r="I194" s="14">
        <f>H194/A194</f>
        <v>1.5303030303030303</v>
      </c>
      <c r="J194" s="13">
        <v>1</v>
      </c>
      <c r="K194" s="15">
        <v>1</v>
      </c>
      <c r="L194" s="13">
        <v>54</v>
      </c>
      <c r="M194" s="13">
        <v>2</v>
      </c>
      <c r="N194" s="16">
        <v>18.899999999999999</v>
      </c>
      <c r="O194" s="14">
        <f>N194/G194</f>
        <v>1.3034482758620689</v>
      </c>
      <c r="P194" s="14">
        <f>N194-G194</f>
        <v>4.3999999999999986</v>
      </c>
      <c r="Q194" s="17">
        <f>IF(F194&lt;2,IF(M194&lt;2,0,1),1)</f>
        <v>1</v>
      </c>
      <c r="R194" s="18">
        <f>K194-D194</f>
        <v>0</v>
      </c>
      <c r="S194" s="17">
        <f>IF(R194&gt;0.09,1,0)</f>
        <v>0</v>
      </c>
      <c r="T194" s="17">
        <v>0</v>
      </c>
      <c r="U194" s="17">
        <v>0</v>
      </c>
      <c r="V194" s="17">
        <f>SUM(J194,Q194,S194,T194,U194)</f>
        <v>2</v>
      </c>
      <c r="W194" s="17">
        <v>2</v>
      </c>
      <c r="X194" s="17">
        <v>2</v>
      </c>
      <c r="Y194" s="12">
        <v>0</v>
      </c>
    </row>
    <row r="195" spans="1:25" s="19" customFormat="1" ht="14.25" customHeight="1" x14ac:dyDescent="0.2">
      <c r="A195" s="13">
        <v>62</v>
      </c>
      <c r="B195" s="13">
        <v>132</v>
      </c>
      <c r="C195" s="13">
        <v>84</v>
      </c>
      <c r="D195" s="15">
        <v>1</v>
      </c>
      <c r="E195" s="13">
        <v>14</v>
      </c>
      <c r="F195" s="13">
        <v>0</v>
      </c>
      <c r="G195" s="15">
        <v>17.100000000000001</v>
      </c>
      <c r="H195" s="13">
        <v>134</v>
      </c>
      <c r="I195" s="14">
        <f>H195/A195</f>
        <v>2.161290322580645</v>
      </c>
      <c r="J195" s="13">
        <v>0</v>
      </c>
      <c r="K195" s="15">
        <v>1</v>
      </c>
      <c r="L195" s="13">
        <v>30</v>
      </c>
      <c r="M195" s="13">
        <v>0</v>
      </c>
      <c r="N195" s="16">
        <v>19.3</v>
      </c>
      <c r="O195" s="14">
        <f>N195/G195</f>
        <v>1.1286549707602338</v>
      </c>
      <c r="P195" s="14">
        <f>N195-G195</f>
        <v>2.1999999999999993</v>
      </c>
      <c r="Q195" s="17">
        <f>IF(F195&lt;2,IF(M195&lt;2,0,1),1)</f>
        <v>0</v>
      </c>
      <c r="R195" s="18">
        <f>K195-D195</f>
        <v>0</v>
      </c>
      <c r="S195" s="17">
        <f>IF(R195&gt;0.09,1,0)</f>
        <v>0</v>
      </c>
      <c r="T195" s="17">
        <v>1</v>
      </c>
      <c r="U195" s="17">
        <v>0</v>
      </c>
      <c r="V195" s="17">
        <f>SUM(J195,Q195,S195,T195,U195)</f>
        <v>1</v>
      </c>
      <c r="W195" s="17">
        <v>1</v>
      </c>
      <c r="X195" s="17">
        <v>1</v>
      </c>
      <c r="Y195" s="12">
        <v>1</v>
      </c>
    </row>
    <row r="196" spans="1:25" s="19" customFormat="1" ht="14.25" customHeight="1" x14ac:dyDescent="0.2">
      <c r="A196" s="13">
        <v>53</v>
      </c>
      <c r="B196" s="13">
        <v>135</v>
      </c>
      <c r="C196" s="13">
        <v>85</v>
      </c>
      <c r="D196" s="15">
        <v>1</v>
      </c>
      <c r="E196" s="13">
        <v>24</v>
      </c>
      <c r="F196" s="13">
        <v>4</v>
      </c>
      <c r="G196" s="15">
        <v>16.399999999999999</v>
      </c>
      <c r="H196" s="13">
        <v>134</v>
      </c>
      <c r="I196" s="14">
        <f>H196/A196</f>
        <v>2.5283018867924527</v>
      </c>
      <c r="J196" s="13">
        <v>0</v>
      </c>
      <c r="K196" s="15">
        <v>1</v>
      </c>
      <c r="L196" s="13">
        <v>46</v>
      </c>
      <c r="M196" s="13">
        <v>2</v>
      </c>
      <c r="N196" s="16">
        <v>17.399999999999999</v>
      </c>
      <c r="O196" s="14">
        <f>N196/G196</f>
        <v>1.0609756097560976</v>
      </c>
      <c r="P196" s="14">
        <f>N196-G196</f>
        <v>1</v>
      </c>
      <c r="Q196" s="17">
        <f>IF(F196&lt;2,IF(M196&lt;2,0,1),1)</f>
        <v>1</v>
      </c>
      <c r="R196" s="18">
        <f>K196-D196</f>
        <v>0</v>
      </c>
      <c r="S196" s="17">
        <f>IF(R196&gt;0.09,1,0)</f>
        <v>0</v>
      </c>
      <c r="T196" s="17">
        <v>1</v>
      </c>
      <c r="U196" s="17">
        <v>1</v>
      </c>
      <c r="V196" s="17">
        <f>SUM(J196,Q196,S196,T196,U196)</f>
        <v>3</v>
      </c>
      <c r="W196" s="17">
        <v>3</v>
      </c>
      <c r="X196" s="17">
        <v>3</v>
      </c>
      <c r="Y196" s="12">
        <v>0</v>
      </c>
    </row>
    <row r="197" spans="1:25" s="19" customFormat="1" ht="14.25" customHeight="1" x14ac:dyDescent="0.2">
      <c r="A197" s="13">
        <v>78</v>
      </c>
      <c r="B197" s="13">
        <v>109</v>
      </c>
      <c r="C197" s="13">
        <v>79</v>
      </c>
      <c r="D197" s="15">
        <v>1.23</v>
      </c>
      <c r="E197" s="13"/>
      <c r="F197" s="13">
        <v>0</v>
      </c>
      <c r="G197" s="15">
        <v>18.399999999999999</v>
      </c>
      <c r="H197" s="13">
        <v>122</v>
      </c>
      <c r="I197" s="14">
        <f>H197/A197</f>
        <v>1.5641025641025641</v>
      </c>
      <c r="J197" s="13">
        <v>1</v>
      </c>
      <c r="K197" s="15">
        <v>1.24</v>
      </c>
      <c r="L197" s="13"/>
      <c r="M197" s="13">
        <v>3</v>
      </c>
      <c r="N197" s="16">
        <v>18.8</v>
      </c>
      <c r="O197" s="14">
        <f>N197/G197</f>
        <v>1.0217391304347827</v>
      </c>
      <c r="P197" s="14">
        <f>N197-G197</f>
        <v>0.40000000000000213</v>
      </c>
      <c r="Q197" s="17">
        <f>IF(F197&lt;2,IF(M197&lt;2,0,1),1)</f>
        <v>1</v>
      </c>
      <c r="R197" s="18">
        <f>K197-D197</f>
        <v>1.0000000000000009E-2</v>
      </c>
      <c r="S197" s="17">
        <f>IF(R197&gt;0.09,1,0)</f>
        <v>0</v>
      </c>
      <c r="T197" s="17">
        <v>1</v>
      </c>
      <c r="U197" s="17"/>
      <c r="V197" s="17">
        <f>SUM(J197,Q197,S197,T197,U197)</f>
        <v>3</v>
      </c>
      <c r="W197" s="17">
        <v>4</v>
      </c>
      <c r="X197" s="17">
        <v>4</v>
      </c>
      <c r="Y197" s="12">
        <v>0</v>
      </c>
    </row>
    <row r="198" spans="1:25" s="19" customFormat="1" ht="14.25" customHeight="1" x14ac:dyDescent="0.2">
      <c r="A198" s="13">
        <v>68</v>
      </c>
      <c r="B198" s="13">
        <v>130</v>
      </c>
      <c r="C198" s="13">
        <v>84</v>
      </c>
      <c r="D198" s="15">
        <v>1</v>
      </c>
      <c r="E198" s="13">
        <v>25</v>
      </c>
      <c r="F198" s="13">
        <v>0</v>
      </c>
      <c r="G198" s="15">
        <v>20.9</v>
      </c>
      <c r="H198" s="13">
        <v>133</v>
      </c>
      <c r="I198" s="14">
        <f>H198/A198</f>
        <v>1.9558823529411764</v>
      </c>
      <c r="J198" s="13">
        <v>0</v>
      </c>
      <c r="K198" s="15">
        <v>1.19</v>
      </c>
      <c r="L198" s="13">
        <v>56</v>
      </c>
      <c r="M198" s="13">
        <v>6</v>
      </c>
      <c r="N198" s="16">
        <v>22</v>
      </c>
      <c r="O198" s="14">
        <f>N198/G198</f>
        <v>1.0526315789473686</v>
      </c>
      <c r="P198" s="14">
        <f>N198-G198</f>
        <v>1.1000000000000014</v>
      </c>
      <c r="Q198" s="17">
        <f>IF(F198&lt;2,IF(M198&lt;2,0,1),1)</f>
        <v>1</v>
      </c>
      <c r="R198" s="18">
        <f>K198-D198</f>
        <v>0.18999999999999995</v>
      </c>
      <c r="S198" s="17">
        <f>IF(R198&gt;0.09,1,0)</f>
        <v>1</v>
      </c>
      <c r="T198" s="17">
        <v>1</v>
      </c>
      <c r="U198" s="17">
        <v>0</v>
      </c>
      <c r="V198" s="17">
        <f>SUM(J198,Q198,S198,T198,U198)</f>
        <v>3</v>
      </c>
      <c r="W198" s="17">
        <v>4</v>
      </c>
      <c r="X198" s="17">
        <v>4</v>
      </c>
      <c r="Y198" s="12">
        <v>0</v>
      </c>
    </row>
    <row r="199" spans="1:25" s="19" customFormat="1" ht="14.25" customHeight="1" x14ac:dyDescent="0.2">
      <c r="A199" s="13">
        <v>62</v>
      </c>
      <c r="B199" s="13">
        <v>144</v>
      </c>
      <c r="C199" s="13">
        <v>94</v>
      </c>
      <c r="D199" s="15">
        <v>1</v>
      </c>
      <c r="E199" s="13">
        <v>39</v>
      </c>
      <c r="F199" s="13">
        <v>0</v>
      </c>
      <c r="G199" s="15"/>
      <c r="H199" s="13">
        <v>105</v>
      </c>
      <c r="I199" s="14">
        <f>H199/A199</f>
        <v>1.6935483870967742</v>
      </c>
      <c r="J199" s="13">
        <v>0</v>
      </c>
      <c r="K199" s="15">
        <v>1</v>
      </c>
      <c r="L199" s="13">
        <v>102</v>
      </c>
      <c r="M199" s="13">
        <v>0</v>
      </c>
      <c r="N199" s="16"/>
      <c r="O199" s="14"/>
      <c r="P199" s="14"/>
      <c r="Q199" s="17">
        <f>IF(F199&lt;2,IF(M199&lt;2,0,1),1)</f>
        <v>0</v>
      </c>
      <c r="R199" s="18">
        <f>K199-D199</f>
        <v>0</v>
      </c>
      <c r="S199" s="17">
        <f>IF(R199&gt;0.09,1,0)</f>
        <v>0</v>
      </c>
      <c r="T199" s="17">
        <v>0</v>
      </c>
      <c r="U199" s="17">
        <v>0</v>
      </c>
      <c r="V199" s="17">
        <f>SUM(J199,Q199,S199,T199,U199)</f>
        <v>0</v>
      </c>
      <c r="W199" s="17">
        <v>1</v>
      </c>
      <c r="X199" s="17">
        <v>1</v>
      </c>
      <c r="Y199" s="12">
        <v>1</v>
      </c>
    </row>
    <row r="200" spans="1:25" s="19" customFormat="1" ht="14.25" customHeight="1" x14ac:dyDescent="0.2">
      <c r="A200" s="13">
        <v>67</v>
      </c>
      <c r="B200" s="13">
        <v>99</v>
      </c>
      <c r="C200" s="13">
        <v>64</v>
      </c>
      <c r="D200" s="15">
        <v>1</v>
      </c>
      <c r="E200" s="13">
        <v>36</v>
      </c>
      <c r="F200" s="13"/>
      <c r="G200" s="15">
        <v>19.7</v>
      </c>
      <c r="H200" s="13">
        <v>115</v>
      </c>
      <c r="I200" s="14">
        <f>H200/A200</f>
        <v>1.7164179104477613</v>
      </c>
      <c r="J200" s="13">
        <v>0</v>
      </c>
      <c r="K200" s="15">
        <v>1.19</v>
      </c>
      <c r="L200" s="13">
        <v>54</v>
      </c>
      <c r="M200" s="13">
        <v>1</v>
      </c>
      <c r="N200" s="16">
        <v>17.899999999999999</v>
      </c>
      <c r="O200" s="14">
        <f>N200/G200</f>
        <v>0.90862944162436543</v>
      </c>
      <c r="P200" s="14">
        <f>N200-G200</f>
        <v>-1.8000000000000007</v>
      </c>
      <c r="Q200" s="17"/>
      <c r="R200" s="18">
        <f>K200-D200</f>
        <v>0.18999999999999995</v>
      </c>
      <c r="S200" s="17">
        <f>IF(R200&gt;0.09,1,0)</f>
        <v>1</v>
      </c>
      <c r="T200" s="17">
        <v>1</v>
      </c>
      <c r="U200" s="17">
        <v>1</v>
      </c>
      <c r="V200" s="17">
        <f>SUM(J200,Q200,S200,T200,U200)</f>
        <v>3</v>
      </c>
      <c r="W200" s="17">
        <v>4</v>
      </c>
      <c r="X200" s="17">
        <v>4</v>
      </c>
      <c r="Y200" s="12">
        <v>0</v>
      </c>
    </row>
    <row r="201" spans="1:25" s="19" customFormat="1" ht="14.25" customHeight="1" x14ac:dyDescent="0.2">
      <c r="A201" s="13">
        <v>69</v>
      </c>
      <c r="B201" s="13">
        <v>162</v>
      </c>
      <c r="C201" s="13">
        <v>101</v>
      </c>
      <c r="D201" s="15">
        <v>1.125</v>
      </c>
      <c r="E201" s="13">
        <v>22</v>
      </c>
      <c r="F201" s="13">
        <v>5</v>
      </c>
      <c r="G201" s="15"/>
      <c r="H201" s="13">
        <v>121</v>
      </c>
      <c r="I201" s="14">
        <f>H201/A201</f>
        <v>1.7536231884057971</v>
      </c>
      <c r="J201" s="13">
        <v>1</v>
      </c>
      <c r="K201" s="15">
        <v>1</v>
      </c>
      <c r="L201" s="13">
        <v>52</v>
      </c>
      <c r="M201" s="13">
        <v>3</v>
      </c>
      <c r="N201" s="16"/>
      <c r="O201" s="14"/>
      <c r="P201" s="14"/>
      <c r="Q201" s="17">
        <f>IF(F201&lt;2,IF(M201&lt;2,0,1),1)</f>
        <v>1</v>
      </c>
      <c r="R201" s="18">
        <f>K201-D201</f>
        <v>-0.125</v>
      </c>
      <c r="S201" s="17">
        <v>1</v>
      </c>
      <c r="T201" s="17">
        <v>1</v>
      </c>
      <c r="U201" s="17">
        <v>0</v>
      </c>
      <c r="V201" s="17">
        <f>SUM(J201,Q201,S201,T201,U201)</f>
        <v>4</v>
      </c>
      <c r="W201" s="17">
        <v>5</v>
      </c>
      <c r="X201" s="17">
        <v>5</v>
      </c>
      <c r="Y201" s="12">
        <v>1</v>
      </c>
    </row>
    <row r="202" spans="1:25" s="19" customFormat="1" ht="14.25" customHeight="1" x14ac:dyDescent="0.2">
      <c r="A202" s="13">
        <v>65</v>
      </c>
      <c r="B202" s="13">
        <v>115</v>
      </c>
      <c r="C202" s="13">
        <v>62</v>
      </c>
      <c r="D202" s="15">
        <v>1</v>
      </c>
      <c r="E202" s="13">
        <v>29</v>
      </c>
      <c r="F202" s="13">
        <v>1</v>
      </c>
      <c r="G202" s="15"/>
      <c r="H202" s="13">
        <v>128</v>
      </c>
      <c r="I202" s="14">
        <f>H202/A202</f>
        <v>1.9692307692307693</v>
      </c>
      <c r="J202" s="13">
        <v>0</v>
      </c>
      <c r="K202" s="15">
        <v>1</v>
      </c>
      <c r="L202" s="13">
        <v>58</v>
      </c>
      <c r="M202" s="13">
        <v>0</v>
      </c>
      <c r="N202" s="16"/>
      <c r="O202" s="14"/>
      <c r="P202" s="14"/>
      <c r="Q202" s="17">
        <f>IF(F202&lt;2,IF(M202&lt;2,0,1),1)</f>
        <v>0</v>
      </c>
      <c r="R202" s="18">
        <f>K202-D202</f>
        <v>0</v>
      </c>
      <c r="S202" s="17">
        <f>IF(R202&gt;0.09,1,0)</f>
        <v>0</v>
      </c>
      <c r="T202" s="17">
        <v>1</v>
      </c>
      <c r="U202" s="17">
        <v>1</v>
      </c>
      <c r="V202" s="17">
        <f>SUM(J202,Q202,S202,T202,U202)</f>
        <v>2</v>
      </c>
      <c r="W202" s="17">
        <v>3</v>
      </c>
      <c r="X202" s="17">
        <v>3</v>
      </c>
      <c r="Y202" s="19">
        <v>0</v>
      </c>
    </row>
    <row r="203" spans="1:25" s="19" customFormat="1" ht="14.25" customHeight="1" x14ac:dyDescent="0.2">
      <c r="A203" s="13">
        <v>83</v>
      </c>
      <c r="B203" s="13">
        <v>144</v>
      </c>
      <c r="C203" s="13">
        <v>76</v>
      </c>
      <c r="D203" s="15">
        <v>1</v>
      </c>
      <c r="E203" s="13">
        <v>18</v>
      </c>
      <c r="F203" s="13">
        <v>0</v>
      </c>
      <c r="G203" s="15">
        <v>17.8</v>
      </c>
      <c r="H203" s="13">
        <v>114</v>
      </c>
      <c r="I203" s="14">
        <f>H203/A203</f>
        <v>1.3734939759036144</v>
      </c>
      <c r="J203" s="13">
        <v>1</v>
      </c>
      <c r="K203" s="15">
        <v>1</v>
      </c>
      <c r="L203" s="13">
        <v>42</v>
      </c>
      <c r="M203" s="13">
        <v>0</v>
      </c>
      <c r="N203" s="16">
        <v>18.3</v>
      </c>
      <c r="O203" s="14">
        <f>N203/G203</f>
        <v>1.0280898876404494</v>
      </c>
      <c r="P203" s="14">
        <f>N203-G203</f>
        <v>0.5</v>
      </c>
      <c r="Q203" s="17">
        <f>IF(F203&lt;2,IF(M203&lt;2,0,1),1)</f>
        <v>0</v>
      </c>
      <c r="R203" s="18">
        <f>K203-D203</f>
        <v>0</v>
      </c>
      <c r="S203" s="17">
        <f>IF(R203&gt;0.09,1,0)</f>
        <v>0</v>
      </c>
      <c r="T203" s="17">
        <v>1</v>
      </c>
      <c r="U203" s="17">
        <v>0</v>
      </c>
      <c r="V203" s="17">
        <f>SUM(J203,Q203,S203,T203,U203)</f>
        <v>2</v>
      </c>
      <c r="W203" s="17">
        <v>2</v>
      </c>
      <c r="X203" s="17">
        <v>2</v>
      </c>
      <c r="Y203" s="12">
        <v>0</v>
      </c>
    </row>
    <row r="204" spans="1:25" s="19" customFormat="1" ht="14.25" customHeight="1" x14ac:dyDescent="0.2">
      <c r="A204" s="13">
        <v>68</v>
      </c>
      <c r="B204" s="13">
        <v>124</v>
      </c>
      <c r="C204" s="13">
        <v>67</v>
      </c>
      <c r="D204" s="15">
        <v>1</v>
      </c>
      <c r="E204" s="13">
        <v>28</v>
      </c>
      <c r="F204" s="13">
        <v>4</v>
      </c>
      <c r="G204" s="15"/>
      <c r="H204" s="13">
        <v>101</v>
      </c>
      <c r="I204" s="14">
        <f>H204/A204</f>
        <v>1.4852941176470589</v>
      </c>
      <c r="J204" s="13">
        <v>1</v>
      </c>
      <c r="K204" s="15">
        <v>1.25</v>
      </c>
      <c r="L204" s="13">
        <v>40</v>
      </c>
      <c r="M204" s="13"/>
      <c r="N204" s="16">
        <v>18.399999999999999</v>
      </c>
      <c r="O204" s="14"/>
      <c r="P204" s="14"/>
      <c r="Q204" s="17">
        <f>IF(F204&lt;2,IF(M204&lt;2,0,1),1)</f>
        <v>1</v>
      </c>
      <c r="R204" s="18">
        <f>K204-D204</f>
        <v>0.25</v>
      </c>
      <c r="S204" s="17">
        <f>IF(R204&gt;0.09,1,0)</f>
        <v>1</v>
      </c>
      <c r="T204" s="17">
        <v>1</v>
      </c>
      <c r="U204" s="17">
        <v>1</v>
      </c>
      <c r="V204" s="17">
        <f>SUM(J204,Q204,S204,T204,U204)</f>
        <v>5</v>
      </c>
      <c r="W204" s="17">
        <v>6</v>
      </c>
      <c r="X204" s="17">
        <v>7</v>
      </c>
      <c r="Y204" s="12">
        <v>1</v>
      </c>
    </row>
    <row r="205" spans="1:25" s="19" customFormat="1" ht="14.25" customHeight="1" x14ac:dyDescent="0.2">
      <c r="A205" s="13">
        <v>57</v>
      </c>
      <c r="B205" s="13">
        <v>116</v>
      </c>
      <c r="C205" s="13">
        <v>64</v>
      </c>
      <c r="D205" s="15">
        <v>1</v>
      </c>
      <c r="E205" s="13">
        <v>17</v>
      </c>
      <c r="F205" s="13">
        <v>0</v>
      </c>
      <c r="G205" s="15"/>
      <c r="H205" s="13">
        <v>86</v>
      </c>
      <c r="I205" s="14">
        <f>H205/A205</f>
        <v>1.5087719298245614</v>
      </c>
      <c r="J205" s="13">
        <v>1</v>
      </c>
      <c r="K205" s="15">
        <v>1.375</v>
      </c>
      <c r="L205" s="13">
        <v>38</v>
      </c>
      <c r="M205" s="13">
        <v>0</v>
      </c>
      <c r="N205" s="16">
        <v>17.100000000000001</v>
      </c>
      <c r="O205" s="14"/>
      <c r="P205" s="14"/>
      <c r="Q205" s="17">
        <f>IF(F205&lt;2,IF(M205&lt;2,0,1),1)</f>
        <v>0</v>
      </c>
      <c r="R205" s="18">
        <f>K205-D205</f>
        <v>0.375</v>
      </c>
      <c r="S205" s="17">
        <f>IF(R205&gt;0.09,1,0)</f>
        <v>1</v>
      </c>
      <c r="T205" s="17">
        <v>1</v>
      </c>
      <c r="U205" s="17">
        <v>0</v>
      </c>
      <c r="V205" s="17">
        <f>SUM(J205,Q205,S205,T205,U205)</f>
        <v>3</v>
      </c>
      <c r="W205" s="17">
        <v>4</v>
      </c>
      <c r="X205" s="17">
        <v>5</v>
      </c>
      <c r="Y205" s="12">
        <v>1</v>
      </c>
    </row>
    <row r="206" spans="1:25" s="19" customFormat="1" ht="14.25" customHeight="1" x14ac:dyDescent="0.2">
      <c r="A206" s="13">
        <v>77</v>
      </c>
      <c r="B206" s="13">
        <v>157</v>
      </c>
      <c r="C206" s="13">
        <v>87</v>
      </c>
      <c r="D206" s="15">
        <v>1</v>
      </c>
      <c r="E206" s="13">
        <v>24</v>
      </c>
      <c r="F206" s="13">
        <v>0</v>
      </c>
      <c r="G206" s="15"/>
      <c r="H206" s="13">
        <v>110</v>
      </c>
      <c r="I206" s="14">
        <f>H206/A206</f>
        <v>1.4285714285714286</v>
      </c>
      <c r="J206" s="13">
        <v>1</v>
      </c>
      <c r="K206" s="15">
        <v>1</v>
      </c>
      <c r="L206" s="13">
        <v>43</v>
      </c>
      <c r="M206" s="13">
        <v>2</v>
      </c>
      <c r="N206" s="16"/>
      <c r="O206" s="14"/>
      <c r="P206" s="14"/>
      <c r="Q206" s="17">
        <f>IF(F206&lt;2,IF(M206&lt;2,0,1),1)</f>
        <v>1</v>
      </c>
      <c r="R206" s="18">
        <f>K206-D206</f>
        <v>0</v>
      </c>
      <c r="S206" s="17">
        <f>IF(R206&gt;0.09,1,0)</f>
        <v>0</v>
      </c>
      <c r="T206" s="17"/>
      <c r="U206" s="17">
        <v>1</v>
      </c>
      <c r="V206" s="17">
        <f>SUM(J206,Q206,S206,T206,U206)</f>
        <v>3</v>
      </c>
      <c r="W206" s="17">
        <v>4</v>
      </c>
      <c r="X206" s="17">
        <v>5</v>
      </c>
      <c r="Y206" s="12">
        <v>0</v>
      </c>
    </row>
    <row r="207" spans="1:25" s="19" customFormat="1" ht="14.25" customHeight="1" x14ac:dyDescent="0.2">
      <c r="A207" s="13">
        <v>75</v>
      </c>
      <c r="B207" s="13">
        <v>137</v>
      </c>
      <c r="C207" s="13">
        <v>80</v>
      </c>
      <c r="D207" s="15">
        <v>1</v>
      </c>
      <c r="E207" s="13">
        <v>14</v>
      </c>
      <c r="F207" s="13">
        <v>4</v>
      </c>
      <c r="G207" s="15">
        <v>15</v>
      </c>
      <c r="H207" s="13">
        <v>146</v>
      </c>
      <c r="I207" s="14">
        <f>H207/A207</f>
        <v>1.9466666666666668</v>
      </c>
      <c r="J207" s="13">
        <v>0</v>
      </c>
      <c r="K207" s="15">
        <v>1</v>
      </c>
      <c r="L207" s="13">
        <v>34</v>
      </c>
      <c r="M207" s="13">
        <v>1</v>
      </c>
      <c r="N207" s="16"/>
      <c r="O207" s="14"/>
      <c r="P207" s="14"/>
      <c r="Q207" s="17">
        <f>IF(F207&lt;2,IF(M207&lt;2,0,1),1)</f>
        <v>1</v>
      </c>
      <c r="R207" s="18">
        <f>K207-D207</f>
        <v>0</v>
      </c>
      <c r="S207" s="17">
        <f>IF(R207&gt;0.09,1,0)</f>
        <v>0</v>
      </c>
      <c r="T207" s="17">
        <v>0</v>
      </c>
      <c r="U207" s="17">
        <v>0</v>
      </c>
      <c r="V207" s="17">
        <f>SUM(J207,Q207,S207,T207,U207)</f>
        <v>1</v>
      </c>
      <c r="W207" s="17">
        <v>1</v>
      </c>
      <c r="X207" s="17">
        <v>1</v>
      </c>
      <c r="Y207" s="12">
        <v>0</v>
      </c>
    </row>
    <row r="208" spans="1:25" s="19" customFormat="1" ht="14.25" customHeight="1" x14ac:dyDescent="0.2">
      <c r="A208" s="13">
        <v>79</v>
      </c>
      <c r="B208" s="13">
        <v>149</v>
      </c>
      <c r="C208" s="13">
        <v>88</v>
      </c>
      <c r="D208" s="15">
        <v>1.125</v>
      </c>
      <c r="E208" s="13">
        <v>45</v>
      </c>
      <c r="F208" s="13">
        <v>3</v>
      </c>
      <c r="G208" s="15">
        <v>17.899999999999999</v>
      </c>
      <c r="H208" s="13">
        <v>119</v>
      </c>
      <c r="I208" s="14">
        <f>H208/A208</f>
        <v>1.5063291139240507</v>
      </c>
      <c r="J208" s="13">
        <v>1</v>
      </c>
      <c r="K208" s="15">
        <v>1.31</v>
      </c>
      <c r="L208" s="13">
        <v>58</v>
      </c>
      <c r="M208" s="13">
        <v>9</v>
      </c>
      <c r="N208" s="16">
        <v>17.3</v>
      </c>
      <c r="O208" s="14">
        <f>N208/G208</f>
        <v>0.96648044692737445</v>
      </c>
      <c r="P208" s="14">
        <f>N208-G208</f>
        <v>-0.59999999999999787</v>
      </c>
      <c r="Q208" s="17">
        <f>IF(F208&lt;2,IF(M208&lt;2,0,1),1)</f>
        <v>1</v>
      </c>
      <c r="R208" s="18">
        <f>K208-D208</f>
        <v>0.18500000000000005</v>
      </c>
      <c r="S208" s="17">
        <f>IF(R208&gt;0.09,1,0)</f>
        <v>1</v>
      </c>
      <c r="T208" s="17">
        <v>1</v>
      </c>
      <c r="U208" s="17">
        <v>1</v>
      </c>
      <c r="V208" s="17">
        <f>SUM(J208,Q208,S208,T208,U208)</f>
        <v>5</v>
      </c>
      <c r="W208" s="17">
        <v>6</v>
      </c>
      <c r="X208" s="17">
        <v>6</v>
      </c>
      <c r="Y208" s="12">
        <v>1</v>
      </c>
    </row>
    <row r="209" spans="1:25" s="19" customFormat="1" ht="14.25" customHeight="1" x14ac:dyDescent="0.2">
      <c r="A209" s="13">
        <v>75</v>
      </c>
      <c r="B209" s="13">
        <v>125</v>
      </c>
      <c r="C209" s="13">
        <v>84</v>
      </c>
      <c r="D209" s="15">
        <v>1</v>
      </c>
      <c r="E209" s="13">
        <v>16</v>
      </c>
      <c r="F209" s="13">
        <v>0</v>
      </c>
      <c r="G209" s="15">
        <v>13.4</v>
      </c>
      <c r="H209" s="13">
        <v>112</v>
      </c>
      <c r="I209" s="14">
        <f>H209/A209</f>
        <v>1.4933333333333334</v>
      </c>
      <c r="J209" s="13">
        <v>1</v>
      </c>
      <c r="K209" s="15">
        <v>1.125</v>
      </c>
      <c r="L209" s="13">
        <v>36</v>
      </c>
      <c r="M209" s="13">
        <v>2</v>
      </c>
      <c r="N209" s="16">
        <v>17.2</v>
      </c>
      <c r="O209" s="14">
        <f>N209/G209</f>
        <v>1.2835820895522387</v>
      </c>
      <c r="P209" s="14">
        <f>N209-G209</f>
        <v>3.7999999999999989</v>
      </c>
      <c r="Q209" s="17">
        <f>IF(F209&lt;2,IF(M209&lt;2,0,1),1)</f>
        <v>1</v>
      </c>
      <c r="R209" s="18">
        <f>K209-D209</f>
        <v>0.125</v>
      </c>
      <c r="S209" s="17">
        <f>IF(R209&gt;0.09,1,0)</f>
        <v>1</v>
      </c>
      <c r="T209" s="17">
        <v>1</v>
      </c>
      <c r="U209" s="17">
        <v>0</v>
      </c>
      <c r="V209" s="17">
        <f>SUM(J209,Q209,S209,T209,U209)</f>
        <v>4</v>
      </c>
      <c r="W209" s="17">
        <v>5</v>
      </c>
      <c r="X209" s="17">
        <v>5</v>
      </c>
      <c r="Y209" s="12">
        <v>0</v>
      </c>
    </row>
    <row r="210" spans="1:25" s="19" customFormat="1" ht="14.25" customHeight="1" x14ac:dyDescent="0.2">
      <c r="A210" s="13">
        <v>72</v>
      </c>
      <c r="B210" s="13">
        <v>122</v>
      </c>
      <c r="C210" s="13">
        <v>72</v>
      </c>
      <c r="D210" s="15">
        <v>1</v>
      </c>
      <c r="E210" s="13">
        <v>16</v>
      </c>
      <c r="F210" s="13">
        <v>0</v>
      </c>
      <c r="G210" s="15">
        <v>16.8</v>
      </c>
      <c r="H210" s="13">
        <v>128</v>
      </c>
      <c r="I210" s="14">
        <f>H210/A210</f>
        <v>1.7777777777777777</v>
      </c>
      <c r="J210" s="13">
        <v>1</v>
      </c>
      <c r="K210" s="15">
        <v>1</v>
      </c>
      <c r="L210" s="13">
        <v>54</v>
      </c>
      <c r="M210" s="13">
        <v>0</v>
      </c>
      <c r="N210" s="16">
        <v>20.3</v>
      </c>
      <c r="O210" s="14">
        <f>N210/G210</f>
        <v>1.2083333333333333</v>
      </c>
      <c r="P210" s="14">
        <f>N210-G210</f>
        <v>3.5</v>
      </c>
      <c r="Q210" s="17">
        <f>IF(F210&lt;2,IF(M210&lt;2,0,1),1)</f>
        <v>0</v>
      </c>
      <c r="R210" s="18">
        <f>K210-D210</f>
        <v>0</v>
      </c>
      <c r="S210" s="17">
        <f>IF(R210&gt;0.09,1,0)</f>
        <v>0</v>
      </c>
      <c r="T210" s="17">
        <v>0</v>
      </c>
      <c r="U210" s="17">
        <v>0</v>
      </c>
      <c r="V210" s="17">
        <f>SUM(J210,Q210,S210,T210,U210)</f>
        <v>1</v>
      </c>
      <c r="W210" s="17">
        <v>1</v>
      </c>
      <c r="X210" s="17">
        <v>2</v>
      </c>
      <c r="Y210" s="12">
        <v>0</v>
      </c>
    </row>
    <row r="211" spans="1:25" s="19" customFormat="1" ht="14.25" customHeight="1" x14ac:dyDescent="0.2">
      <c r="A211" s="13">
        <v>41</v>
      </c>
      <c r="B211" s="13">
        <v>141</v>
      </c>
      <c r="C211" s="13">
        <v>83</v>
      </c>
      <c r="D211" s="15">
        <v>1</v>
      </c>
      <c r="E211" s="13">
        <v>20</v>
      </c>
      <c r="F211" s="13">
        <v>1</v>
      </c>
      <c r="G211" s="15">
        <v>19.3</v>
      </c>
      <c r="H211" s="13">
        <v>123</v>
      </c>
      <c r="I211" s="14">
        <f>H211/A211</f>
        <v>3</v>
      </c>
      <c r="J211" s="13">
        <v>0</v>
      </c>
      <c r="K211" s="15">
        <v>1.125</v>
      </c>
      <c r="L211" s="13">
        <v>30</v>
      </c>
      <c r="M211" s="13">
        <v>3</v>
      </c>
      <c r="N211" s="16">
        <v>19</v>
      </c>
      <c r="O211" s="14">
        <f>N211/G211</f>
        <v>0.98445595854922274</v>
      </c>
      <c r="P211" s="14">
        <f>N211-G211</f>
        <v>-0.30000000000000071</v>
      </c>
      <c r="Q211" s="17">
        <f>IF(F211&lt;2,IF(M211&lt;2,0,1),1)</f>
        <v>1</v>
      </c>
      <c r="R211" s="18">
        <f>K211-D211</f>
        <v>0.125</v>
      </c>
      <c r="S211" s="17">
        <f>IF(R211&gt;0.09,1,0)</f>
        <v>1</v>
      </c>
      <c r="T211" s="17">
        <v>1</v>
      </c>
      <c r="U211" s="17">
        <v>1</v>
      </c>
      <c r="V211" s="17">
        <f>SUM(J211,Q211,S211,T211,U211)</f>
        <v>4</v>
      </c>
      <c r="W211" s="17">
        <v>4</v>
      </c>
      <c r="X211" s="17">
        <v>4</v>
      </c>
      <c r="Y211" s="12">
        <v>0</v>
      </c>
    </row>
    <row r="212" spans="1:25" s="19" customFormat="1" ht="14.25" customHeight="1" x14ac:dyDescent="0.2">
      <c r="A212" s="13">
        <v>73</v>
      </c>
      <c r="B212" s="13">
        <v>122</v>
      </c>
      <c r="C212" s="13">
        <v>90</v>
      </c>
      <c r="D212" s="15">
        <v>1</v>
      </c>
      <c r="E212" s="13">
        <v>26</v>
      </c>
      <c r="F212" s="13">
        <v>0</v>
      </c>
      <c r="G212" s="15"/>
      <c r="H212" s="13">
        <v>84</v>
      </c>
      <c r="I212" s="14">
        <f>H212/A212</f>
        <v>1.1506849315068493</v>
      </c>
      <c r="J212" s="13">
        <v>1</v>
      </c>
      <c r="K212" s="15">
        <v>1</v>
      </c>
      <c r="L212" s="13">
        <v>41</v>
      </c>
      <c r="M212" s="13">
        <v>1</v>
      </c>
      <c r="N212" s="16"/>
      <c r="O212" s="14"/>
      <c r="P212" s="14"/>
      <c r="Q212" s="17">
        <f>IF(F212&lt;2,IF(M212&lt;2,0,1),1)</f>
        <v>0</v>
      </c>
      <c r="R212" s="18">
        <f>K212-D212</f>
        <v>0</v>
      </c>
      <c r="S212" s="17">
        <f>IF(R212&gt;0.09,1,0)</f>
        <v>0</v>
      </c>
      <c r="T212" s="17">
        <v>0</v>
      </c>
      <c r="U212" s="17">
        <v>1</v>
      </c>
      <c r="V212" s="17">
        <f>SUM(J212,Q212,S212,T212,U212)</f>
        <v>2</v>
      </c>
      <c r="W212" s="17">
        <v>2</v>
      </c>
      <c r="X212" s="17">
        <v>2</v>
      </c>
      <c r="Y212" s="12">
        <v>1</v>
      </c>
    </row>
    <row r="213" spans="1:25" s="19" customFormat="1" ht="14.25" customHeight="1" x14ac:dyDescent="0.2">
      <c r="A213" s="13">
        <v>54</v>
      </c>
      <c r="B213" s="13">
        <v>117</v>
      </c>
      <c r="C213" s="13">
        <v>89</v>
      </c>
      <c r="D213" s="15">
        <v>1</v>
      </c>
      <c r="E213" s="13">
        <v>21</v>
      </c>
      <c r="F213" s="13">
        <v>1</v>
      </c>
      <c r="G213" s="15">
        <v>23.9</v>
      </c>
      <c r="H213" s="13">
        <v>84</v>
      </c>
      <c r="I213" s="14">
        <f>H213/A213</f>
        <v>1.5555555555555556</v>
      </c>
      <c r="J213" s="13">
        <v>1</v>
      </c>
      <c r="K213" s="15">
        <v>1.25</v>
      </c>
      <c r="L213" s="13">
        <v>50</v>
      </c>
      <c r="M213" s="13">
        <v>4</v>
      </c>
      <c r="N213" s="16">
        <v>20.100000000000001</v>
      </c>
      <c r="O213" s="14">
        <f>N213/G213</f>
        <v>0.84100418410041855</v>
      </c>
      <c r="P213" s="14">
        <f>N213-G213</f>
        <v>-3.7999999999999972</v>
      </c>
      <c r="Q213" s="17">
        <f>IF(F213&lt;2,IF(M213&lt;2,0,1),1)</f>
        <v>1</v>
      </c>
      <c r="R213" s="18">
        <f>K213-D213</f>
        <v>0.25</v>
      </c>
      <c r="S213" s="17">
        <f>IF(R213&gt;0.09,1,0)</f>
        <v>1</v>
      </c>
      <c r="T213" s="17">
        <v>1</v>
      </c>
      <c r="U213" s="17">
        <v>0</v>
      </c>
      <c r="V213" s="17">
        <f>SUM(J213,Q213,S213,T213,U213)</f>
        <v>4</v>
      </c>
      <c r="W213" s="17">
        <v>4</v>
      </c>
      <c r="X213" s="17">
        <v>5</v>
      </c>
      <c r="Y213" s="12">
        <v>0</v>
      </c>
    </row>
    <row r="214" spans="1:25" s="19" customFormat="1" ht="14.25" customHeight="1" x14ac:dyDescent="0.2">
      <c r="A214" s="13">
        <v>80</v>
      </c>
      <c r="B214" s="13">
        <v>173</v>
      </c>
      <c r="C214" s="13">
        <v>102</v>
      </c>
      <c r="D214" s="15">
        <v>1</v>
      </c>
      <c r="E214" s="13">
        <v>24</v>
      </c>
      <c r="F214" s="13">
        <v>3</v>
      </c>
      <c r="G214" s="15"/>
      <c r="H214" s="13">
        <v>141</v>
      </c>
      <c r="I214" s="14">
        <f>H214/A214</f>
        <v>1.7625</v>
      </c>
      <c r="J214" s="13">
        <v>1</v>
      </c>
      <c r="K214" s="15">
        <v>1</v>
      </c>
      <c r="L214" s="13">
        <v>48</v>
      </c>
      <c r="M214" s="13">
        <v>2</v>
      </c>
      <c r="N214" s="16"/>
      <c r="O214" s="14"/>
      <c r="P214" s="14"/>
      <c r="Q214" s="17">
        <f>IF(F214&lt;2,IF(M214&lt;2,0,1),1)</f>
        <v>1</v>
      </c>
      <c r="R214" s="18">
        <f>K214-D214</f>
        <v>0</v>
      </c>
      <c r="S214" s="17">
        <f>IF(R214&gt;0.09,1,0)</f>
        <v>0</v>
      </c>
      <c r="T214" s="17">
        <v>1</v>
      </c>
      <c r="U214" s="17">
        <v>1</v>
      </c>
      <c r="V214" s="17">
        <f>SUM(J214,Q214,S214,T214,U214)</f>
        <v>4</v>
      </c>
      <c r="W214" s="17">
        <v>5</v>
      </c>
      <c r="X214" s="17">
        <v>5</v>
      </c>
      <c r="Y214" s="12">
        <v>1</v>
      </c>
    </row>
    <row r="215" spans="1:25" s="19" customFormat="1" ht="14.25" customHeight="1" x14ac:dyDescent="0.2">
      <c r="A215" s="13">
        <v>60</v>
      </c>
      <c r="B215" s="13">
        <v>130</v>
      </c>
      <c r="C215" s="13">
        <v>80</v>
      </c>
      <c r="D215" s="15">
        <v>1</v>
      </c>
      <c r="E215" s="13">
        <v>34</v>
      </c>
      <c r="F215" s="13">
        <v>0</v>
      </c>
      <c r="G215" s="15">
        <v>16.3</v>
      </c>
      <c r="H215" s="13">
        <v>96</v>
      </c>
      <c r="I215" s="14">
        <f>H215/A215</f>
        <v>1.6</v>
      </c>
      <c r="J215" s="13">
        <v>1</v>
      </c>
      <c r="K215" s="15">
        <v>1.19</v>
      </c>
      <c r="L215" s="13">
        <v>60</v>
      </c>
      <c r="M215" s="13">
        <v>2</v>
      </c>
      <c r="N215" s="16">
        <v>18.2</v>
      </c>
      <c r="O215" s="14">
        <f>N215/G215</f>
        <v>1.1165644171779141</v>
      </c>
      <c r="P215" s="14">
        <f>N215-G215</f>
        <v>1.8999999999999986</v>
      </c>
      <c r="Q215" s="17">
        <f>IF(F215&lt;2,IF(M215&lt;2,0,1),1)</f>
        <v>1</v>
      </c>
      <c r="R215" s="18">
        <f>K215-D215</f>
        <v>0.18999999999999995</v>
      </c>
      <c r="S215" s="17">
        <f>IF(R215&gt;0.09,1,0)</f>
        <v>1</v>
      </c>
      <c r="T215" s="17">
        <v>1</v>
      </c>
      <c r="U215" s="17">
        <v>1</v>
      </c>
      <c r="V215" s="17">
        <f>SUM(J215,Q215,S215,T215,U215)</f>
        <v>5</v>
      </c>
      <c r="W215" s="17">
        <v>6</v>
      </c>
      <c r="X215" s="17">
        <v>6</v>
      </c>
      <c r="Y215" s="12">
        <v>1</v>
      </c>
    </row>
    <row r="216" spans="1:25" s="19" customFormat="1" ht="14.25" customHeight="1" x14ac:dyDescent="0.2">
      <c r="A216" s="13">
        <v>70</v>
      </c>
      <c r="B216" s="13">
        <v>136</v>
      </c>
      <c r="C216" s="13">
        <v>78</v>
      </c>
      <c r="D216" s="15">
        <v>1</v>
      </c>
      <c r="E216" s="13">
        <v>14</v>
      </c>
      <c r="F216" s="13">
        <v>8</v>
      </c>
      <c r="G216" s="15">
        <v>18.600000000000001</v>
      </c>
      <c r="H216" s="13">
        <v>115</v>
      </c>
      <c r="I216" s="14">
        <f>H216/A216</f>
        <v>1.6428571428571428</v>
      </c>
      <c r="J216" s="13">
        <v>1</v>
      </c>
      <c r="K216" s="15">
        <v>1.125</v>
      </c>
      <c r="L216" s="13">
        <v>43</v>
      </c>
      <c r="M216" s="13">
        <v>3</v>
      </c>
      <c r="N216" s="16">
        <v>19</v>
      </c>
      <c r="O216" s="14">
        <f>N216/G216</f>
        <v>1.021505376344086</v>
      </c>
      <c r="P216" s="14">
        <f>N216-G216</f>
        <v>0.39999999999999858</v>
      </c>
      <c r="Q216" s="17">
        <f>IF(F216&lt;2,IF(M216&lt;2,0,1),1)</f>
        <v>1</v>
      </c>
      <c r="R216" s="18">
        <f>K216-D216</f>
        <v>0.125</v>
      </c>
      <c r="S216" s="17">
        <f>IF(R216&gt;0.09,1,0)</f>
        <v>1</v>
      </c>
      <c r="T216" s="17">
        <v>1</v>
      </c>
      <c r="U216" s="17">
        <v>0</v>
      </c>
      <c r="V216" s="17">
        <f>SUM(J216,Q216,S216,T216,U216)</f>
        <v>4</v>
      </c>
      <c r="W216" s="17">
        <v>5</v>
      </c>
      <c r="X216" s="17">
        <v>5</v>
      </c>
      <c r="Y216" s="12">
        <v>1</v>
      </c>
    </row>
    <row r="217" spans="1:25" s="19" customFormat="1" ht="14.25" customHeight="1" x14ac:dyDescent="0.2">
      <c r="A217" s="13">
        <v>75</v>
      </c>
      <c r="B217" s="13">
        <v>106</v>
      </c>
      <c r="C217" s="13">
        <v>78</v>
      </c>
      <c r="D217" s="15">
        <v>1</v>
      </c>
      <c r="E217" s="13">
        <v>19</v>
      </c>
      <c r="F217" s="13">
        <v>2</v>
      </c>
      <c r="G217" s="15">
        <v>17.5</v>
      </c>
      <c r="H217" s="13">
        <v>96</v>
      </c>
      <c r="I217" s="14">
        <f>H217/A217</f>
        <v>1.28</v>
      </c>
      <c r="J217" s="13">
        <v>1</v>
      </c>
      <c r="K217" s="15">
        <v>1</v>
      </c>
      <c r="L217" s="13">
        <v>23</v>
      </c>
      <c r="M217" s="13">
        <v>0</v>
      </c>
      <c r="N217" s="16">
        <v>19.600000000000001</v>
      </c>
      <c r="O217" s="14">
        <f>N217/G217</f>
        <v>1.1200000000000001</v>
      </c>
      <c r="P217" s="14">
        <f>N217-G217</f>
        <v>2.1000000000000014</v>
      </c>
      <c r="Q217" s="17">
        <f>IF(F217&lt;2,IF(M217&lt;2,0,1),1)</f>
        <v>1</v>
      </c>
      <c r="R217" s="18">
        <f>K217-D217</f>
        <v>0</v>
      </c>
      <c r="S217" s="17">
        <f>IF(R217&gt;0.09,1,0)</f>
        <v>0</v>
      </c>
      <c r="T217" s="17">
        <v>1</v>
      </c>
      <c r="U217" s="17">
        <v>1</v>
      </c>
      <c r="V217" s="17">
        <f>SUM(J217,Q217,S217,T217,U217)</f>
        <v>4</v>
      </c>
      <c r="W217" s="17">
        <v>5</v>
      </c>
      <c r="X217" s="17">
        <v>6</v>
      </c>
      <c r="Y217" s="12">
        <v>0</v>
      </c>
    </row>
    <row r="218" spans="1:25" s="19" customFormat="1" ht="14.25" customHeight="1" x14ac:dyDescent="0.2">
      <c r="A218" s="13">
        <v>74</v>
      </c>
      <c r="B218" s="13">
        <v>131</v>
      </c>
      <c r="C218" s="13">
        <v>72</v>
      </c>
      <c r="D218" s="15">
        <v>1</v>
      </c>
      <c r="E218" s="13">
        <v>25</v>
      </c>
      <c r="F218" s="13">
        <v>4</v>
      </c>
      <c r="G218" s="15">
        <v>15.6</v>
      </c>
      <c r="H218" s="13">
        <v>96</v>
      </c>
      <c r="I218" s="14">
        <f>H218/A218</f>
        <v>1.2972972972972974</v>
      </c>
      <c r="J218" s="13">
        <v>1</v>
      </c>
      <c r="K218" s="15">
        <v>1.19</v>
      </c>
      <c r="L218" s="13">
        <v>34</v>
      </c>
      <c r="M218" s="13">
        <v>6</v>
      </c>
      <c r="N218" s="16">
        <v>12.4</v>
      </c>
      <c r="O218" s="14">
        <f>N218/G218</f>
        <v>0.79487179487179493</v>
      </c>
      <c r="P218" s="14">
        <f>N218-G218</f>
        <v>-3.1999999999999993</v>
      </c>
      <c r="Q218" s="17">
        <f>IF(F218&lt;2,IF(M218&lt;2,0,1),1)</f>
        <v>1</v>
      </c>
      <c r="R218" s="18">
        <f>K218-D218</f>
        <v>0.18999999999999995</v>
      </c>
      <c r="S218" s="17">
        <f>IF(R218&gt;0.09,1,0)</f>
        <v>1</v>
      </c>
      <c r="T218" s="17">
        <v>1</v>
      </c>
      <c r="U218" s="17">
        <v>1</v>
      </c>
      <c r="V218" s="17">
        <f>SUM(J218,Q218,S218,T218,U218)</f>
        <v>5</v>
      </c>
      <c r="W218" s="17">
        <v>6</v>
      </c>
      <c r="X218" s="17">
        <v>6</v>
      </c>
      <c r="Y218" s="12">
        <v>1</v>
      </c>
    </row>
    <row r="219" spans="1:25" s="19" customFormat="1" ht="14.25" customHeight="1" x14ac:dyDescent="0.2">
      <c r="A219" s="13">
        <v>54</v>
      </c>
      <c r="B219" s="13">
        <v>118</v>
      </c>
      <c r="C219" s="13">
        <v>74</v>
      </c>
      <c r="D219" s="15">
        <v>1</v>
      </c>
      <c r="E219" s="13">
        <v>15</v>
      </c>
      <c r="F219" s="13">
        <v>0</v>
      </c>
      <c r="G219" s="15">
        <v>17.3</v>
      </c>
      <c r="H219" s="13">
        <v>96</v>
      </c>
      <c r="I219" s="14">
        <f>H219/A219</f>
        <v>1.7777777777777777</v>
      </c>
      <c r="J219" s="13">
        <v>1</v>
      </c>
      <c r="K219" s="15">
        <v>1</v>
      </c>
      <c r="L219" s="13">
        <v>32</v>
      </c>
      <c r="M219" s="13">
        <v>0</v>
      </c>
      <c r="N219" s="16"/>
      <c r="O219" s="14"/>
      <c r="P219" s="14"/>
      <c r="Q219" s="17">
        <f>IF(F219&lt;2,IF(M219&lt;2,0,1),1)</f>
        <v>0</v>
      </c>
      <c r="R219" s="18">
        <f>K219-D219</f>
        <v>0</v>
      </c>
      <c r="S219" s="17">
        <f>IF(R219&gt;0.09,1,0)</f>
        <v>0</v>
      </c>
      <c r="T219" s="17">
        <v>0</v>
      </c>
      <c r="U219" s="17">
        <v>0</v>
      </c>
      <c r="V219" s="17">
        <f>SUM(J219,Q219,S219,T219,U219)</f>
        <v>1</v>
      </c>
      <c r="W219" s="17">
        <v>2</v>
      </c>
      <c r="X219" s="17">
        <v>2</v>
      </c>
      <c r="Y219" s="12">
        <v>1</v>
      </c>
    </row>
    <row r="220" spans="1:25" s="19" customFormat="1" ht="14.25" customHeight="1" x14ac:dyDescent="0.2">
      <c r="A220" s="13">
        <v>63</v>
      </c>
      <c r="B220" s="13">
        <v>124</v>
      </c>
      <c r="C220" s="13">
        <v>69</v>
      </c>
      <c r="D220" s="15">
        <v>1</v>
      </c>
      <c r="E220" s="13">
        <v>25</v>
      </c>
      <c r="F220" s="13">
        <v>0</v>
      </c>
      <c r="G220" s="15">
        <v>18.7</v>
      </c>
      <c r="H220" s="13">
        <v>132</v>
      </c>
      <c r="I220" s="14">
        <f>H220/A220</f>
        <v>2.0952380952380953</v>
      </c>
      <c r="J220" s="13">
        <v>0</v>
      </c>
      <c r="K220" s="15">
        <v>1</v>
      </c>
      <c r="L220" s="13">
        <v>37</v>
      </c>
      <c r="M220" s="13">
        <v>2</v>
      </c>
      <c r="N220" s="16">
        <v>17.899999999999999</v>
      </c>
      <c r="O220" s="14">
        <f>N220/G220</f>
        <v>0.95721925133689834</v>
      </c>
      <c r="P220" s="14">
        <f>N220-G220</f>
        <v>-0.80000000000000071</v>
      </c>
      <c r="Q220" s="17">
        <f>IF(F220&lt;2,IF(M220&lt;2,0,1),1)</f>
        <v>1</v>
      </c>
      <c r="R220" s="18">
        <f>K220-D220</f>
        <v>0</v>
      </c>
      <c r="S220" s="17">
        <f>IF(R220&gt;0.09,1,0)</f>
        <v>0</v>
      </c>
      <c r="T220" s="17">
        <v>0</v>
      </c>
      <c r="U220" s="17">
        <v>1</v>
      </c>
      <c r="V220" s="17">
        <f>SUM(J220,Q220,S220,T220,U220)</f>
        <v>2</v>
      </c>
      <c r="W220" s="17">
        <v>3</v>
      </c>
      <c r="X220" s="17">
        <v>3</v>
      </c>
      <c r="Y220" s="12">
        <v>0</v>
      </c>
    </row>
    <row r="221" spans="1:25" s="19" customFormat="1" ht="14.25" customHeight="1" x14ac:dyDescent="0.2">
      <c r="A221" s="13">
        <v>76</v>
      </c>
      <c r="B221" s="13">
        <v>111</v>
      </c>
      <c r="C221" s="13">
        <v>75</v>
      </c>
      <c r="D221" s="15">
        <v>1</v>
      </c>
      <c r="E221" s="13">
        <v>30</v>
      </c>
      <c r="F221" s="13">
        <v>5</v>
      </c>
      <c r="G221" s="15"/>
      <c r="H221" s="13">
        <v>114</v>
      </c>
      <c r="I221" s="14">
        <f>H221/A221</f>
        <v>1.5</v>
      </c>
      <c r="J221" s="13">
        <v>1</v>
      </c>
      <c r="K221" s="15">
        <v>1.31</v>
      </c>
      <c r="L221" s="13">
        <v>50</v>
      </c>
      <c r="M221" s="13">
        <v>4</v>
      </c>
      <c r="N221" s="16"/>
      <c r="O221" s="14"/>
      <c r="P221" s="14"/>
      <c r="Q221" s="17">
        <f>IF(F221&lt;2,IF(M221&lt;2,0,1),1)</f>
        <v>1</v>
      </c>
      <c r="R221" s="18">
        <f>K221-D221</f>
        <v>0.31000000000000005</v>
      </c>
      <c r="S221" s="17">
        <f>IF(R221&gt;0.09,1,0)</f>
        <v>1</v>
      </c>
      <c r="T221" s="17">
        <v>1</v>
      </c>
      <c r="U221" s="17">
        <v>1</v>
      </c>
      <c r="V221" s="17">
        <f>SUM(J221,Q221,S221,T221,U221)</f>
        <v>5</v>
      </c>
      <c r="W221" s="17">
        <v>5</v>
      </c>
      <c r="X221" s="17">
        <v>6</v>
      </c>
      <c r="Y221" s="12">
        <v>1</v>
      </c>
    </row>
    <row r="222" spans="1:25" s="19" customFormat="1" ht="14.25" customHeight="1" x14ac:dyDescent="0.2">
      <c r="A222" s="13">
        <v>65</v>
      </c>
      <c r="B222" s="13">
        <v>118</v>
      </c>
      <c r="C222" s="13">
        <v>76</v>
      </c>
      <c r="D222" s="15">
        <v>1</v>
      </c>
      <c r="E222" s="13">
        <v>16</v>
      </c>
      <c r="F222" s="13">
        <v>4</v>
      </c>
      <c r="G222" s="15">
        <v>18</v>
      </c>
      <c r="H222" s="13">
        <v>134</v>
      </c>
      <c r="I222" s="14">
        <f>H222/A222</f>
        <v>2.0615384615384613</v>
      </c>
      <c r="J222" s="13">
        <v>0</v>
      </c>
      <c r="K222" s="15">
        <v>1</v>
      </c>
      <c r="L222" s="13">
        <v>34</v>
      </c>
      <c r="M222" s="13"/>
      <c r="N222" s="16">
        <v>20.7</v>
      </c>
      <c r="O222" s="14">
        <f>N222/G222</f>
        <v>1.1499999999999999</v>
      </c>
      <c r="P222" s="14">
        <f>N222-G222</f>
        <v>2.6999999999999993</v>
      </c>
      <c r="Q222" s="17">
        <f>IF(F222&lt;2,IF(M222&lt;2,0,1),1)</f>
        <v>1</v>
      </c>
      <c r="R222" s="18">
        <f>K222-D222</f>
        <v>0</v>
      </c>
      <c r="S222" s="17">
        <f>IF(R222&gt;0.09,1,0)</f>
        <v>0</v>
      </c>
      <c r="T222" s="17">
        <v>0</v>
      </c>
      <c r="U222" s="17">
        <v>0</v>
      </c>
      <c r="V222" s="17">
        <f>SUM(J222,Q222,S222,T222,U222)</f>
        <v>1</v>
      </c>
      <c r="W222" s="17">
        <v>2</v>
      </c>
      <c r="X222" s="17">
        <v>2</v>
      </c>
      <c r="Y222" s="12">
        <v>0</v>
      </c>
    </row>
    <row r="223" spans="1:25" s="19" customFormat="1" ht="14.25" customHeight="1" x14ac:dyDescent="0.2">
      <c r="A223" s="13">
        <v>69</v>
      </c>
      <c r="B223" s="13">
        <v>150</v>
      </c>
      <c r="C223" s="13">
        <v>67</v>
      </c>
      <c r="D223" s="15">
        <v>1</v>
      </c>
      <c r="E223" s="13">
        <v>30</v>
      </c>
      <c r="F223" s="13">
        <v>0</v>
      </c>
      <c r="G223" s="15">
        <v>18</v>
      </c>
      <c r="H223" s="13">
        <v>131</v>
      </c>
      <c r="I223" s="14">
        <f>H223/A223</f>
        <v>1.8985507246376812</v>
      </c>
      <c r="J223" s="13">
        <v>0</v>
      </c>
      <c r="K223" s="15">
        <v>1.25</v>
      </c>
      <c r="L223" s="13">
        <v>46</v>
      </c>
      <c r="M223" s="13">
        <v>1</v>
      </c>
      <c r="N223" s="16">
        <v>28</v>
      </c>
      <c r="O223" s="14">
        <f>N223/G223</f>
        <v>1.5555555555555556</v>
      </c>
      <c r="P223" s="14">
        <f>N223-G223</f>
        <v>10</v>
      </c>
      <c r="Q223" s="17">
        <f>IF(F223&lt;2,IF(M223&lt;2,0,1),1)</f>
        <v>0</v>
      </c>
      <c r="R223" s="18">
        <f>K223-D223</f>
        <v>0.25</v>
      </c>
      <c r="S223" s="17">
        <f>IF(R223&gt;0.09,1,0)</f>
        <v>1</v>
      </c>
      <c r="T223" s="17">
        <v>1</v>
      </c>
      <c r="U223" s="17">
        <v>1</v>
      </c>
      <c r="V223" s="17">
        <f>SUM(J223,Q223,S223,T223,U223)</f>
        <v>3</v>
      </c>
      <c r="W223" s="17">
        <v>4</v>
      </c>
      <c r="X223" s="17">
        <v>5</v>
      </c>
      <c r="Y223" s="12">
        <v>0</v>
      </c>
    </row>
    <row r="224" spans="1:25" s="19" customFormat="1" ht="14.25" customHeight="1" x14ac:dyDescent="0.2">
      <c r="A224" s="13">
        <v>55</v>
      </c>
      <c r="B224" s="13">
        <v>137</v>
      </c>
      <c r="C224" s="13">
        <v>109</v>
      </c>
      <c r="D224" s="15">
        <v>1</v>
      </c>
      <c r="E224" s="13">
        <v>14</v>
      </c>
      <c r="F224" s="13">
        <v>4</v>
      </c>
      <c r="G224" s="15">
        <v>15.9</v>
      </c>
      <c r="H224" s="13">
        <v>113</v>
      </c>
      <c r="I224" s="14">
        <f>H224/A224</f>
        <v>2.0545454545454547</v>
      </c>
      <c r="J224" s="13">
        <v>0</v>
      </c>
      <c r="K224" s="15">
        <v>1.125</v>
      </c>
      <c r="L224" s="13">
        <v>34</v>
      </c>
      <c r="M224" s="13">
        <v>10</v>
      </c>
      <c r="N224" s="16"/>
      <c r="O224" s="14"/>
      <c r="P224" s="14"/>
      <c r="Q224" s="17">
        <f>IF(F224&lt;2,IF(M224&lt;2,0,1),1)</f>
        <v>1</v>
      </c>
      <c r="R224" s="18">
        <f>K224-D224</f>
        <v>0.125</v>
      </c>
      <c r="S224" s="17">
        <f>IF(R224&gt;0.09,1,0)</f>
        <v>1</v>
      </c>
      <c r="T224" s="17">
        <v>1</v>
      </c>
      <c r="U224" s="17">
        <v>0</v>
      </c>
      <c r="V224" s="17">
        <f>SUM(J224,Q224,S224,T224,U224)</f>
        <v>3</v>
      </c>
      <c r="W224" s="17">
        <v>4</v>
      </c>
      <c r="X224" s="17">
        <v>4</v>
      </c>
      <c r="Y224" s="12">
        <v>0</v>
      </c>
    </row>
    <row r="225" spans="1:25" s="19" customFormat="1" ht="14.25" customHeight="1" x14ac:dyDescent="0.2">
      <c r="A225" s="13">
        <v>67</v>
      </c>
      <c r="B225" s="13">
        <v>116</v>
      </c>
      <c r="C225" s="13">
        <v>67</v>
      </c>
      <c r="D225" s="15">
        <v>1</v>
      </c>
      <c r="E225" s="13">
        <v>16</v>
      </c>
      <c r="F225" s="13">
        <v>3</v>
      </c>
      <c r="G225" s="15">
        <v>18.8</v>
      </c>
      <c r="H225" s="13">
        <v>112</v>
      </c>
      <c r="I225" s="14">
        <f>H225/A225</f>
        <v>1.6716417910447761</v>
      </c>
      <c r="J225" s="13">
        <v>1</v>
      </c>
      <c r="K225" s="15">
        <v>1</v>
      </c>
      <c r="L225" s="13">
        <v>27</v>
      </c>
      <c r="M225" s="13">
        <v>2</v>
      </c>
      <c r="N225" s="16">
        <v>15</v>
      </c>
      <c r="O225" s="14">
        <f>N225/G225</f>
        <v>0.7978723404255319</v>
      </c>
      <c r="P225" s="14">
        <f>N225-G225</f>
        <v>-3.8000000000000007</v>
      </c>
      <c r="Q225" s="17">
        <f>IF(F225&lt;2,IF(M225&lt;2,0,1),1)</f>
        <v>1</v>
      </c>
      <c r="R225" s="18">
        <f>K225-D225</f>
        <v>0</v>
      </c>
      <c r="S225" s="17">
        <f>IF(R225&gt;0.09,1,0)</f>
        <v>0</v>
      </c>
      <c r="T225" s="17">
        <v>1</v>
      </c>
      <c r="U225" s="17">
        <v>1</v>
      </c>
      <c r="V225" s="17">
        <f>SUM(J225,Q225,S225,T225,U225)</f>
        <v>4</v>
      </c>
      <c r="W225" s="17">
        <v>5</v>
      </c>
      <c r="X225" s="17">
        <v>5</v>
      </c>
      <c r="Y225" s="12">
        <v>1</v>
      </c>
    </row>
    <row r="226" spans="1:25" s="19" customFormat="1" ht="14.25" customHeight="1" x14ac:dyDescent="0.2">
      <c r="A226" s="13">
        <v>62</v>
      </c>
      <c r="B226" s="13">
        <v>106</v>
      </c>
      <c r="C226" s="13">
        <v>78</v>
      </c>
      <c r="D226" s="15">
        <v>1</v>
      </c>
      <c r="E226" s="13">
        <v>12</v>
      </c>
      <c r="F226" s="13">
        <v>4</v>
      </c>
      <c r="G226" s="15">
        <v>15.6</v>
      </c>
      <c r="H226" s="13">
        <v>136</v>
      </c>
      <c r="I226" s="14">
        <f>H226/A226</f>
        <v>2.193548387096774</v>
      </c>
      <c r="J226" s="13">
        <v>0</v>
      </c>
      <c r="K226" s="15">
        <v>1.19</v>
      </c>
      <c r="L226" s="13">
        <v>35</v>
      </c>
      <c r="M226" s="13">
        <v>3</v>
      </c>
      <c r="N226" s="16">
        <v>21.9</v>
      </c>
      <c r="O226" s="14">
        <f>N226/G226</f>
        <v>1.4038461538461537</v>
      </c>
      <c r="P226" s="14">
        <f>N226-G226</f>
        <v>6.2999999999999989</v>
      </c>
      <c r="Q226" s="17">
        <f>IF(F226&lt;2,IF(M226&lt;2,0,1),1)</f>
        <v>1</v>
      </c>
      <c r="R226" s="18">
        <f>K226-D226</f>
        <v>0.18999999999999995</v>
      </c>
      <c r="S226" s="17">
        <f>IF(R226&gt;0.09,1,0)</f>
        <v>1</v>
      </c>
      <c r="T226" s="17">
        <v>1</v>
      </c>
      <c r="U226" s="17">
        <v>0</v>
      </c>
      <c r="V226" s="17">
        <f>SUM(J226,Q226,S226,T226,U226)</f>
        <v>3</v>
      </c>
      <c r="W226" s="17">
        <v>3</v>
      </c>
      <c r="X226" s="17">
        <v>4</v>
      </c>
      <c r="Y226" s="12">
        <v>0</v>
      </c>
    </row>
    <row r="227" spans="1:25" s="19" customFormat="1" ht="14.25" customHeight="1" x14ac:dyDescent="0.2">
      <c r="A227" s="13">
        <v>68</v>
      </c>
      <c r="B227" s="13">
        <v>113</v>
      </c>
      <c r="C227" s="13">
        <v>64</v>
      </c>
      <c r="D227" s="15">
        <v>1</v>
      </c>
      <c r="E227" s="13">
        <v>18</v>
      </c>
      <c r="F227" s="13">
        <v>1</v>
      </c>
      <c r="G227" s="15">
        <v>17.7</v>
      </c>
      <c r="H227" s="13">
        <v>120</v>
      </c>
      <c r="I227" s="14">
        <f>H227/A227</f>
        <v>1.7647058823529411</v>
      </c>
      <c r="J227" s="13">
        <v>1</v>
      </c>
      <c r="K227" s="15">
        <v>1.125</v>
      </c>
      <c r="L227" s="13">
        <v>34</v>
      </c>
      <c r="M227" s="13">
        <v>4</v>
      </c>
      <c r="N227" s="16">
        <v>21.4</v>
      </c>
      <c r="O227" s="14">
        <f>N227/G227</f>
        <v>1.2090395480225988</v>
      </c>
      <c r="P227" s="14">
        <f>N227-G227</f>
        <v>3.6999999999999993</v>
      </c>
      <c r="Q227" s="17">
        <f>IF(F227&lt;2,IF(M227&lt;2,0,1),1)</f>
        <v>1</v>
      </c>
      <c r="R227" s="18">
        <f>K227-D227</f>
        <v>0.125</v>
      </c>
      <c r="S227" s="17">
        <f>IF(R227&gt;0.09,1,0)</f>
        <v>1</v>
      </c>
      <c r="T227" s="17">
        <v>0</v>
      </c>
      <c r="U227" s="17">
        <v>1</v>
      </c>
      <c r="V227" s="17">
        <f>SUM(J227,Q227,S227,T227,U227)</f>
        <v>4</v>
      </c>
      <c r="W227" s="17">
        <v>5</v>
      </c>
      <c r="X227" s="17">
        <v>6</v>
      </c>
      <c r="Y227" s="12">
        <v>0</v>
      </c>
    </row>
    <row r="228" spans="1:25" s="19" customFormat="1" ht="14.25" customHeight="1" x14ac:dyDescent="0.2">
      <c r="A228" s="13">
        <v>71</v>
      </c>
      <c r="B228" s="13">
        <v>129</v>
      </c>
      <c r="C228" s="13">
        <v>91</v>
      </c>
      <c r="D228" s="15">
        <v>1</v>
      </c>
      <c r="E228" s="13">
        <v>20</v>
      </c>
      <c r="F228" s="13">
        <v>2</v>
      </c>
      <c r="G228" s="15">
        <v>16.399999999999999</v>
      </c>
      <c r="H228" s="13">
        <v>121</v>
      </c>
      <c r="I228" s="14">
        <f>H228/A228</f>
        <v>1.704225352112676</v>
      </c>
      <c r="J228" s="13">
        <v>1</v>
      </c>
      <c r="K228" s="15">
        <v>1.06</v>
      </c>
      <c r="L228" s="13">
        <v>35</v>
      </c>
      <c r="M228" s="13">
        <v>4</v>
      </c>
      <c r="N228" s="16">
        <v>20.100000000000001</v>
      </c>
      <c r="O228" s="14">
        <f>N228/G228</f>
        <v>1.2256097560975612</v>
      </c>
      <c r="P228" s="14">
        <f>N228-G228</f>
        <v>3.7000000000000028</v>
      </c>
      <c r="Q228" s="17">
        <f>IF(F228&lt;2,IF(M228&lt;2,0,1),1)</f>
        <v>1</v>
      </c>
      <c r="R228" s="18">
        <f>K228-D228</f>
        <v>6.0000000000000053E-2</v>
      </c>
      <c r="S228" s="17">
        <f>IF(R228&gt;0.09,1,0)</f>
        <v>0</v>
      </c>
      <c r="T228" s="17">
        <v>0</v>
      </c>
      <c r="U228" s="17">
        <v>1</v>
      </c>
      <c r="V228" s="17">
        <f>SUM(J228,Q228,S228,T228,U228)</f>
        <v>3</v>
      </c>
      <c r="W228" s="17">
        <v>4</v>
      </c>
      <c r="X228" s="17">
        <v>5</v>
      </c>
      <c r="Y228" s="12">
        <v>0</v>
      </c>
    </row>
    <row r="229" spans="1:25" s="19" customFormat="1" ht="14.25" customHeight="1" x14ac:dyDescent="0.2">
      <c r="A229" s="13">
        <v>68</v>
      </c>
      <c r="B229" s="13">
        <v>112</v>
      </c>
      <c r="C229" s="13">
        <v>81</v>
      </c>
      <c r="D229" s="15">
        <v>1</v>
      </c>
      <c r="E229" s="13">
        <v>19</v>
      </c>
      <c r="F229" s="13">
        <v>1</v>
      </c>
      <c r="G229" s="15">
        <v>19</v>
      </c>
      <c r="H229" s="13">
        <v>120</v>
      </c>
      <c r="I229" s="14">
        <f>H229/A229</f>
        <v>1.7647058823529411</v>
      </c>
      <c r="J229" s="13">
        <v>1</v>
      </c>
      <c r="K229" s="15">
        <v>1</v>
      </c>
      <c r="L229" s="13">
        <v>47</v>
      </c>
      <c r="M229" s="13">
        <v>4</v>
      </c>
      <c r="N229" s="16">
        <v>18.5</v>
      </c>
      <c r="O229" s="14">
        <f>N229/G229</f>
        <v>0.97368421052631582</v>
      </c>
      <c r="P229" s="14">
        <f>N229-G229</f>
        <v>-0.5</v>
      </c>
      <c r="Q229" s="17">
        <f>IF(F229&lt;2,IF(M229&lt;2,0,1),1)</f>
        <v>1</v>
      </c>
      <c r="R229" s="18">
        <f>K229-D229</f>
        <v>0</v>
      </c>
      <c r="S229" s="17">
        <f>IF(R229&gt;0.09,1,0)</f>
        <v>0</v>
      </c>
      <c r="T229" s="17">
        <v>1</v>
      </c>
      <c r="U229" s="17">
        <v>0</v>
      </c>
      <c r="V229" s="17">
        <f>SUM(J229,Q229,S229,T229,U229)</f>
        <v>3</v>
      </c>
      <c r="W229" s="17">
        <v>3</v>
      </c>
      <c r="X229" s="17">
        <v>3</v>
      </c>
      <c r="Y229" s="12">
        <v>0</v>
      </c>
    </row>
    <row r="230" spans="1:25" s="19" customFormat="1" ht="14.25" customHeight="1" x14ac:dyDescent="0.2">
      <c r="A230" s="13">
        <v>70</v>
      </c>
      <c r="B230" s="13">
        <v>112</v>
      </c>
      <c r="C230" s="13">
        <v>62</v>
      </c>
      <c r="D230" s="15">
        <v>1</v>
      </c>
      <c r="E230" s="13">
        <v>13</v>
      </c>
      <c r="F230" s="13">
        <v>4</v>
      </c>
      <c r="G230" s="15">
        <v>16.899999999999999</v>
      </c>
      <c r="H230" s="13">
        <v>130</v>
      </c>
      <c r="I230" s="14">
        <f>H230/A230</f>
        <v>1.8571428571428572</v>
      </c>
      <c r="J230" s="13">
        <v>0</v>
      </c>
      <c r="K230" s="15">
        <v>1</v>
      </c>
      <c r="L230" s="13">
        <v>24</v>
      </c>
      <c r="M230" s="13">
        <v>6</v>
      </c>
      <c r="N230" s="16">
        <v>23.3</v>
      </c>
      <c r="O230" s="14">
        <f>N230/G230</f>
        <v>1.3786982248520712</v>
      </c>
      <c r="P230" s="14">
        <f>N230-G230</f>
        <v>6.4000000000000021</v>
      </c>
      <c r="Q230" s="17">
        <f>IF(F230&lt;2,IF(M230&lt;2,0,1),1)</f>
        <v>1</v>
      </c>
      <c r="R230" s="18">
        <f>K230-D230</f>
        <v>0</v>
      </c>
      <c r="S230" s="17">
        <f>IF(R230&gt;0.09,1,0)</f>
        <v>0</v>
      </c>
      <c r="T230" s="17">
        <v>1</v>
      </c>
      <c r="U230" s="17">
        <v>1</v>
      </c>
      <c r="V230" s="17">
        <f>SUM(J230,Q230,S230,T230,U230)</f>
        <v>3</v>
      </c>
      <c r="W230" s="17">
        <v>3</v>
      </c>
      <c r="X230" s="17">
        <v>4</v>
      </c>
      <c r="Y230" s="12">
        <v>0</v>
      </c>
    </row>
    <row r="231" spans="1:25" s="19" customFormat="1" ht="14.25" customHeight="1" x14ac:dyDescent="0.2">
      <c r="A231" s="13">
        <v>59</v>
      </c>
      <c r="B231" s="13">
        <v>175</v>
      </c>
      <c r="C231" s="13">
        <v>77</v>
      </c>
      <c r="D231" s="15">
        <v>1</v>
      </c>
      <c r="E231" s="13">
        <v>34</v>
      </c>
      <c r="F231" s="13">
        <v>0</v>
      </c>
      <c r="G231" s="15">
        <v>22.8</v>
      </c>
      <c r="H231" s="13">
        <v>125</v>
      </c>
      <c r="I231" s="14">
        <f>H231/A231</f>
        <v>2.1186440677966103</v>
      </c>
      <c r="J231" s="13">
        <v>0</v>
      </c>
      <c r="K231" s="15">
        <v>1.19</v>
      </c>
      <c r="L231" s="13">
        <v>56</v>
      </c>
      <c r="M231" s="13">
        <v>0</v>
      </c>
      <c r="N231" s="16">
        <v>24.9</v>
      </c>
      <c r="O231" s="14">
        <f>N231/G231</f>
        <v>1.0921052631578947</v>
      </c>
      <c r="P231" s="14">
        <f>N231-G231</f>
        <v>2.0999999999999979</v>
      </c>
      <c r="Q231" s="17">
        <f>IF(F231&lt;2,IF(M231&lt;2,0,1),1)</f>
        <v>0</v>
      </c>
      <c r="R231" s="18">
        <f>K231-D231</f>
        <v>0.18999999999999995</v>
      </c>
      <c r="S231" s="17">
        <f>IF(R231&gt;0.09,1,0)</f>
        <v>1</v>
      </c>
      <c r="T231" s="17">
        <v>1</v>
      </c>
      <c r="U231" s="17">
        <v>1</v>
      </c>
      <c r="V231" s="17">
        <f>SUM(J231,Q231,S231,T231,U231)</f>
        <v>3</v>
      </c>
      <c r="W231" s="17">
        <v>3</v>
      </c>
      <c r="X231" s="17">
        <v>4</v>
      </c>
      <c r="Y231" s="12">
        <v>0</v>
      </c>
    </row>
    <row r="232" spans="1:25" s="19" customFormat="1" ht="14.25" customHeight="1" x14ac:dyDescent="0.2">
      <c r="A232" s="13">
        <v>58</v>
      </c>
      <c r="B232" s="13">
        <v>117</v>
      </c>
      <c r="C232" s="13">
        <v>72</v>
      </c>
      <c r="D232" s="15">
        <v>1</v>
      </c>
      <c r="E232" s="13">
        <v>14</v>
      </c>
      <c r="F232" s="13">
        <v>0</v>
      </c>
      <c r="G232" s="15">
        <v>16.600000000000001</v>
      </c>
      <c r="H232" s="13">
        <v>114</v>
      </c>
      <c r="I232" s="14">
        <f>H232/A232</f>
        <v>1.9655172413793103</v>
      </c>
      <c r="J232" s="13">
        <v>0</v>
      </c>
      <c r="K232" s="15">
        <v>1</v>
      </c>
      <c r="L232" s="13">
        <v>36</v>
      </c>
      <c r="M232" s="13">
        <v>0</v>
      </c>
      <c r="N232" s="16">
        <v>23.7</v>
      </c>
      <c r="O232" s="14">
        <f>N232/G232</f>
        <v>1.4277108433734937</v>
      </c>
      <c r="P232" s="14">
        <f>N232-G232</f>
        <v>7.0999999999999979</v>
      </c>
      <c r="Q232" s="17">
        <f>IF(F232&lt;2,IF(M232&lt;2,0,1),1)</f>
        <v>0</v>
      </c>
      <c r="R232" s="18">
        <f>K232-D232</f>
        <v>0</v>
      </c>
      <c r="S232" s="17">
        <f>IF(R232&gt;0.09,1,0)</f>
        <v>0</v>
      </c>
      <c r="T232" s="17">
        <v>1</v>
      </c>
      <c r="U232" s="17">
        <v>0</v>
      </c>
      <c r="V232" s="17">
        <f>SUM(J232,Q232,S232,T232,U232)</f>
        <v>1</v>
      </c>
      <c r="W232" s="17">
        <v>2</v>
      </c>
      <c r="X232" s="17">
        <v>2</v>
      </c>
      <c r="Y232" s="12">
        <v>0</v>
      </c>
    </row>
    <row r="233" spans="1:25" s="19" customFormat="1" ht="14.25" customHeight="1" x14ac:dyDescent="0.2">
      <c r="A233" s="13">
        <v>73</v>
      </c>
      <c r="B233" s="13">
        <v>119</v>
      </c>
      <c r="C233" s="13">
        <v>85</v>
      </c>
      <c r="D233" s="15">
        <v>1</v>
      </c>
      <c r="E233" s="13">
        <v>21</v>
      </c>
      <c r="F233" s="13">
        <v>0</v>
      </c>
      <c r="G233" s="15">
        <v>16.2</v>
      </c>
      <c r="H233" s="13">
        <v>130</v>
      </c>
      <c r="I233" s="14">
        <f>H233/A233</f>
        <v>1.7808219178082192</v>
      </c>
      <c r="J233" s="13">
        <v>1</v>
      </c>
      <c r="K233" s="15">
        <v>1</v>
      </c>
      <c r="L233" s="13"/>
      <c r="M233" s="13">
        <v>0</v>
      </c>
      <c r="N233" s="16">
        <v>24.3</v>
      </c>
      <c r="O233" s="14">
        <f>N233/G233</f>
        <v>1.5</v>
      </c>
      <c r="P233" s="14">
        <f>N233-G233</f>
        <v>8.1000000000000014</v>
      </c>
      <c r="Q233" s="17">
        <f>IF(F233&lt;2,IF(M233&lt;2,0,1),1)</f>
        <v>0</v>
      </c>
      <c r="R233" s="18">
        <f>K233-D233</f>
        <v>0</v>
      </c>
      <c r="S233" s="17">
        <f>IF(R233&gt;0.09,1,0)</f>
        <v>0</v>
      </c>
      <c r="T233" s="17">
        <v>1</v>
      </c>
      <c r="U233" s="17"/>
      <c r="V233" s="17">
        <f>SUM(J233,Q233,S233,T233,U233)</f>
        <v>2</v>
      </c>
      <c r="W233" s="17">
        <v>2</v>
      </c>
      <c r="X233" s="17">
        <v>3</v>
      </c>
      <c r="Y233" s="12">
        <v>0</v>
      </c>
    </row>
    <row r="234" spans="1:25" s="19" customFormat="1" ht="14.25" customHeight="1" x14ac:dyDescent="0.2">
      <c r="A234" s="13">
        <v>85</v>
      </c>
      <c r="B234" s="13">
        <v>127</v>
      </c>
      <c r="C234" s="13">
        <v>93</v>
      </c>
      <c r="D234" s="15">
        <v>1.19</v>
      </c>
      <c r="E234" s="13"/>
      <c r="F234" s="13">
        <v>0</v>
      </c>
      <c r="G234" s="15">
        <v>14</v>
      </c>
      <c r="H234" s="13">
        <v>110</v>
      </c>
      <c r="I234" s="14">
        <f>H234/A234</f>
        <v>1.2941176470588236</v>
      </c>
      <c r="J234" s="13">
        <v>1</v>
      </c>
      <c r="K234" s="15">
        <v>1.5</v>
      </c>
      <c r="L234" s="13"/>
      <c r="M234" s="13">
        <v>0</v>
      </c>
      <c r="N234" s="16">
        <v>14.6</v>
      </c>
      <c r="O234" s="14">
        <f>N234/G234</f>
        <v>1.0428571428571429</v>
      </c>
      <c r="P234" s="14">
        <f>N234-G234</f>
        <v>0.59999999999999964</v>
      </c>
      <c r="Q234" s="17">
        <f>IF(F234&lt;2,IF(M234&lt;2,0,1),1)</f>
        <v>0</v>
      </c>
      <c r="R234" s="18">
        <f>K234-D234</f>
        <v>0.31000000000000005</v>
      </c>
      <c r="S234" s="17">
        <f>IF(R234&gt;0.09,1,0)</f>
        <v>1</v>
      </c>
      <c r="T234" s="17">
        <v>1</v>
      </c>
      <c r="U234" s="17"/>
      <c r="V234" s="17">
        <f>SUM(J234,Q234,S234,T234,U234)</f>
        <v>3</v>
      </c>
      <c r="W234" s="17">
        <v>3</v>
      </c>
      <c r="X234" s="17">
        <v>4</v>
      </c>
      <c r="Y234" s="12">
        <v>1</v>
      </c>
    </row>
    <row r="235" spans="1:25" s="19" customFormat="1" ht="14.25" customHeight="1" x14ac:dyDescent="0.2">
      <c r="A235" s="13">
        <v>77</v>
      </c>
      <c r="B235" s="13">
        <v>123</v>
      </c>
      <c r="C235" s="13">
        <v>96</v>
      </c>
      <c r="D235" s="15">
        <v>1</v>
      </c>
      <c r="E235" s="13">
        <v>46</v>
      </c>
      <c r="F235" s="13">
        <v>0</v>
      </c>
      <c r="G235" s="15">
        <v>15.8</v>
      </c>
      <c r="H235" s="13">
        <v>151</v>
      </c>
      <c r="I235" s="14">
        <f>H235/A235</f>
        <v>1.9610389610389611</v>
      </c>
      <c r="J235" s="13">
        <v>0</v>
      </c>
      <c r="K235" s="15">
        <v>1</v>
      </c>
      <c r="L235" s="13">
        <v>78</v>
      </c>
      <c r="M235" s="13">
        <v>0</v>
      </c>
      <c r="N235" s="16">
        <v>18.3</v>
      </c>
      <c r="O235" s="14">
        <f>N235/G235</f>
        <v>1.1582278481012658</v>
      </c>
      <c r="P235" s="14">
        <f>N235-G235</f>
        <v>2.5</v>
      </c>
      <c r="Q235" s="17">
        <f>IF(F235&lt;2,IF(M235&lt;2,0,1),1)</f>
        <v>0</v>
      </c>
      <c r="R235" s="18">
        <f>K235-D235</f>
        <v>0</v>
      </c>
      <c r="S235" s="17">
        <f>IF(R235&gt;0.09,1,0)</f>
        <v>0</v>
      </c>
      <c r="T235" s="17">
        <v>1</v>
      </c>
      <c r="U235" s="17">
        <v>1</v>
      </c>
      <c r="V235" s="17">
        <f>SUM(J235,Q235,S235,T235,U235)</f>
        <v>2</v>
      </c>
      <c r="W235" s="17">
        <v>2</v>
      </c>
      <c r="X235" s="17">
        <v>3</v>
      </c>
      <c r="Y235" s="12">
        <v>0</v>
      </c>
    </row>
    <row r="236" spans="1:25" s="19" customFormat="1" ht="14.25" customHeight="1" x14ac:dyDescent="0.2">
      <c r="A236" s="13">
        <v>55</v>
      </c>
      <c r="B236" s="13">
        <v>119</v>
      </c>
      <c r="C236" s="13">
        <v>83</v>
      </c>
      <c r="D236" s="15">
        <v>1</v>
      </c>
      <c r="E236" s="13">
        <v>26</v>
      </c>
      <c r="F236" s="13">
        <v>0</v>
      </c>
      <c r="G236" s="15">
        <v>10.6</v>
      </c>
      <c r="H236" s="13">
        <v>100</v>
      </c>
      <c r="I236" s="14">
        <f>H236/A236</f>
        <v>1.8181818181818181</v>
      </c>
      <c r="J236" s="13">
        <v>0</v>
      </c>
      <c r="K236" s="15">
        <v>1</v>
      </c>
      <c r="L236" s="13">
        <v>50</v>
      </c>
      <c r="M236" s="13">
        <v>0</v>
      </c>
      <c r="N236" s="16">
        <v>16.2</v>
      </c>
      <c r="O236" s="14">
        <f>N236/G236</f>
        <v>1.5283018867924527</v>
      </c>
      <c r="P236" s="14">
        <f>N236-G236</f>
        <v>5.6</v>
      </c>
      <c r="Q236" s="17">
        <f>IF(F236&lt;2,IF(M236&lt;2,0,1),1)</f>
        <v>0</v>
      </c>
      <c r="R236" s="18">
        <f>K236-D236</f>
        <v>0</v>
      </c>
      <c r="S236" s="17">
        <f>IF(R236&gt;0.09,1,0)</f>
        <v>0</v>
      </c>
      <c r="T236" s="17">
        <v>1</v>
      </c>
      <c r="U236" s="17">
        <v>1</v>
      </c>
      <c r="V236" s="17">
        <f>SUM(J236,Q236,S236,T236,U236)</f>
        <v>2</v>
      </c>
      <c r="W236" s="17">
        <v>3</v>
      </c>
      <c r="X236" s="17">
        <v>3</v>
      </c>
      <c r="Y236" s="12">
        <v>1</v>
      </c>
    </row>
    <row r="237" spans="1:25" s="19" customFormat="1" ht="14.25" customHeight="1" x14ac:dyDescent="0.2">
      <c r="A237" s="13">
        <v>83</v>
      </c>
      <c r="B237" s="13">
        <v>121</v>
      </c>
      <c r="C237" s="13">
        <v>80</v>
      </c>
      <c r="D237" s="15">
        <v>1</v>
      </c>
      <c r="E237" s="13">
        <v>21</v>
      </c>
      <c r="F237" s="13">
        <v>0</v>
      </c>
      <c r="G237" s="15">
        <v>19.399999999999999</v>
      </c>
      <c r="H237" s="13">
        <v>133</v>
      </c>
      <c r="I237" s="14">
        <f>H237/A237</f>
        <v>1.6024096385542168</v>
      </c>
      <c r="J237" s="13">
        <v>1</v>
      </c>
      <c r="K237" s="15">
        <v>1.125</v>
      </c>
      <c r="L237" s="13">
        <v>37</v>
      </c>
      <c r="M237" s="13">
        <v>0</v>
      </c>
      <c r="N237" s="16">
        <v>15.7</v>
      </c>
      <c r="O237" s="14">
        <f>N237/G237</f>
        <v>0.80927835051546393</v>
      </c>
      <c r="P237" s="14">
        <f>N237-G237</f>
        <v>-3.6999999999999993</v>
      </c>
      <c r="Q237" s="17">
        <f>IF(F237&lt;2,IF(M237&lt;2,0,1),1)</f>
        <v>0</v>
      </c>
      <c r="R237" s="18">
        <f>K237-D237</f>
        <v>0.125</v>
      </c>
      <c r="S237" s="17">
        <f>IF(R237&gt;0.09,1,0)</f>
        <v>1</v>
      </c>
      <c r="T237" s="17">
        <v>0</v>
      </c>
      <c r="U237" s="17">
        <v>1</v>
      </c>
      <c r="V237" s="17">
        <f>SUM(J237,Q237,S237,T237,U237)</f>
        <v>3</v>
      </c>
      <c r="W237" s="17">
        <v>3</v>
      </c>
      <c r="X237" s="17">
        <v>3</v>
      </c>
      <c r="Y237" s="12">
        <v>0</v>
      </c>
    </row>
    <row r="238" spans="1:25" s="19" customFormat="1" ht="14.25" customHeight="1" x14ac:dyDescent="0.2">
      <c r="A238" s="13">
        <v>55</v>
      </c>
      <c r="B238" s="13">
        <v>144</v>
      </c>
      <c r="C238" s="13">
        <v>82</v>
      </c>
      <c r="D238" s="15">
        <v>1</v>
      </c>
      <c r="E238" s="13">
        <v>13</v>
      </c>
      <c r="F238" s="13">
        <v>0</v>
      </c>
      <c r="G238" s="15">
        <v>14.4</v>
      </c>
      <c r="H238" s="13">
        <v>108</v>
      </c>
      <c r="I238" s="14">
        <f>H238/A238</f>
        <v>1.9636363636363636</v>
      </c>
      <c r="J238" s="13">
        <v>0</v>
      </c>
      <c r="K238" s="15">
        <v>1</v>
      </c>
      <c r="L238" s="13">
        <v>49</v>
      </c>
      <c r="M238" s="13">
        <v>0</v>
      </c>
      <c r="N238" s="16">
        <v>16.399999999999999</v>
      </c>
      <c r="O238" s="14">
        <f>N238/G238</f>
        <v>1.1388888888888888</v>
      </c>
      <c r="P238" s="14">
        <f>N238-G238</f>
        <v>1.9999999999999982</v>
      </c>
      <c r="Q238" s="17">
        <f>IF(F238&lt;2,IF(M238&lt;2,0,1),1)</f>
        <v>0</v>
      </c>
      <c r="R238" s="18">
        <f>K238-D238</f>
        <v>0</v>
      </c>
      <c r="S238" s="17">
        <f>IF(R238&gt;0.09,1,0)</f>
        <v>0</v>
      </c>
      <c r="T238" s="17">
        <v>1</v>
      </c>
      <c r="U238" s="17">
        <v>0</v>
      </c>
      <c r="V238" s="17">
        <f>SUM(J238,Q238,S238,T238,U238)</f>
        <v>1</v>
      </c>
      <c r="W238" s="17">
        <v>1</v>
      </c>
      <c r="X238" s="17">
        <v>1</v>
      </c>
      <c r="Y238" s="12">
        <v>0</v>
      </c>
    </row>
    <row r="239" spans="1:25" s="19" customFormat="1" ht="14.25" customHeight="1" x14ac:dyDescent="0.2">
      <c r="A239" s="13">
        <v>96</v>
      </c>
      <c r="B239" s="13">
        <v>140</v>
      </c>
      <c r="C239" s="13">
        <v>89</v>
      </c>
      <c r="D239" s="15">
        <v>1</v>
      </c>
      <c r="E239" s="13">
        <v>17</v>
      </c>
      <c r="F239" s="13">
        <v>0</v>
      </c>
      <c r="G239" s="15">
        <v>18.399999999999999</v>
      </c>
      <c r="H239" s="13">
        <v>144</v>
      </c>
      <c r="I239" s="14">
        <f>H239/A239</f>
        <v>1.5</v>
      </c>
      <c r="J239" s="13">
        <v>1</v>
      </c>
      <c r="K239" s="15">
        <v>1</v>
      </c>
      <c r="L239" s="13"/>
      <c r="M239" s="13">
        <v>0</v>
      </c>
      <c r="N239" s="16">
        <v>18</v>
      </c>
      <c r="O239" s="14">
        <f>N239/G239</f>
        <v>0.97826086956521752</v>
      </c>
      <c r="P239" s="14">
        <f>N239-G239</f>
        <v>-0.39999999999999858</v>
      </c>
      <c r="Q239" s="17">
        <f>IF(F239&lt;2,IF(M239&lt;2,0,1),1)</f>
        <v>0</v>
      </c>
      <c r="R239" s="18">
        <f>K239-D239</f>
        <v>0</v>
      </c>
      <c r="S239" s="17">
        <f>IF(R239&gt;0.09,1,0)</f>
        <v>0</v>
      </c>
      <c r="T239" s="17">
        <v>0</v>
      </c>
      <c r="U239" s="17"/>
      <c r="V239" s="17">
        <f>SUM(J239,Q239,S239,T239,U239)</f>
        <v>1</v>
      </c>
      <c r="W239" s="17">
        <v>1</v>
      </c>
      <c r="X239" s="17">
        <v>1</v>
      </c>
      <c r="Y239" s="12">
        <v>0</v>
      </c>
    </row>
    <row r="240" spans="1:25" s="19" customFormat="1" ht="14.25" customHeight="1" x14ac:dyDescent="0.2">
      <c r="A240" s="13">
        <v>88</v>
      </c>
      <c r="B240" s="13">
        <v>106</v>
      </c>
      <c r="C240" s="13">
        <v>70</v>
      </c>
      <c r="D240" s="15">
        <v>1</v>
      </c>
      <c r="E240" s="13">
        <v>26</v>
      </c>
      <c r="F240" s="13">
        <v>0</v>
      </c>
      <c r="G240" s="15">
        <v>16.3</v>
      </c>
      <c r="H240" s="13">
        <v>139</v>
      </c>
      <c r="I240" s="14">
        <f>H240/A240</f>
        <v>1.5795454545454546</v>
      </c>
      <c r="J240" s="13">
        <v>1</v>
      </c>
      <c r="K240" s="15">
        <v>1</v>
      </c>
      <c r="L240" s="13">
        <v>46</v>
      </c>
      <c r="M240" s="13"/>
      <c r="N240" s="16">
        <v>20.8</v>
      </c>
      <c r="O240" s="14">
        <f>N240/G240</f>
        <v>1.2760736196319018</v>
      </c>
      <c r="P240" s="14">
        <f>N240-G240</f>
        <v>4.5</v>
      </c>
      <c r="Q240" s="17"/>
      <c r="R240" s="18">
        <f>K240-D240</f>
        <v>0</v>
      </c>
      <c r="S240" s="17">
        <f>IF(R240&gt;0.09,1,0)</f>
        <v>0</v>
      </c>
      <c r="T240" s="17">
        <v>1</v>
      </c>
      <c r="U240" s="17">
        <v>1</v>
      </c>
      <c r="V240" s="17">
        <f>SUM(J240,Q240,S240,T240,U240)</f>
        <v>3</v>
      </c>
      <c r="W240" s="17">
        <v>3</v>
      </c>
      <c r="X240" s="17">
        <v>3</v>
      </c>
      <c r="Y240" s="12">
        <v>0</v>
      </c>
    </row>
    <row r="241" spans="1:25" s="19" customFormat="1" ht="14.25" customHeight="1" x14ac:dyDescent="0.2">
      <c r="A241" s="13">
        <v>79</v>
      </c>
      <c r="B241" s="13">
        <v>135</v>
      </c>
      <c r="C241" s="13">
        <v>92</v>
      </c>
      <c r="D241" s="15">
        <v>1</v>
      </c>
      <c r="E241" s="13">
        <v>23</v>
      </c>
      <c r="F241" s="13"/>
      <c r="G241" s="15">
        <v>18.3</v>
      </c>
      <c r="H241" s="13">
        <v>120</v>
      </c>
      <c r="I241" s="14">
        <f>H241/A241</f>
        <v>1.518987341772152</v>
      </c>
      <c r="J241" s="13">
        <v>1</v>
      </c>
      <c r="K241" s="15">
        <v>1</v>
      </c>
      <c r="L241" s="13">
        <v>40</v>
      </c>
      <c r="M241" s="13"/>
      <c r="N241" s="16">
        <v>23.6</v>
      </c>
      <c r="O241" s="14">
        <f>N241/G241</f>
        <v>1.2896174863387979</v>
      </c>
      <c r="P241" s="14">
        <f>N241-G241</f>
        <v>5.3000000000000007</v>
      </c>
      <c r="Q241" s="17"/>
      <c r="R241" s="18">
        <f>K241-D241</f>
        <v>0</v>
      </c>
      <c r="S241" s="17">
        <f>IF(R241&gt;0.09,1,0)</f>
        <v>0</v>
      </c>
      <c r="T241" s="17">
        <v>0</v>
      </c>
      <c r="U241" s="17">
        <v>1</v>
      </c>
      <c r="V241" s="17">
        <f>SUM(J241,Q241,S241,T241,U241)</f>
        <v>2</v>
      </c>
      <c r="W241" s="17">
        <v>3</v>
      </c>
      <c r="X241" s="17">
        <v>3</v>
      </c>
      <c r="Y241" s="12">
        <v>1</v>
      </c>
    </row>
    <row r="242" spans="1:25" s="19" customFormat="1" ht="14.25" customHeight="1" x14ac:dyDescent="0.2">
      <c r="A242" s="13">
        <v>90</v>
      </c>
      <c r="B242" s="13">
        <v>139</v>
      </c>
      <c r="C242" s="13">
        <v>100</v>
      </c>
      <c r="D242" s="15">
        <v>1</v>
      </c>
      <c r="E242" s="13"/>
      <c r="F242" s="13">
        <v>0</v>
      </c>
      <c r="G242" s="15">
        <v>18.7</v>
      </c>
      <c r="H242" s="13">
        <v>150</v>
      </c>
      <c r="I242" s="14">
        <f>H242/A242</f>
        <v>1.6666666666666667</v>
      </c>
      <c r="J242" s="13">
        <v>1</v>
      </c>
      <c r="K242" s="15">
        <v>1</v>
      </c>
      <c r="L242" s="13"/>
      <c r="M242" s="13">
        <v>0</v>
      </c>
      <c r="N242" s="16">
        <v>17.100000000000001</v>
      </c>
      <c r="O242" s="14">
        <f>N242/G242</f>
        <v>0.91443850267379689</v>
      </c>
      <c r="P242" s="14">
        <f>N242-G242</f>
        <v>-1.5999999999999979</v>
      </c>
      <c r="Q242" s="17">
        <f>IF(F242&lt;2,IF(M242&lt;2,0,1),1)</f>
        <v>0</v>
      </c>
      <c r="R242" s="18">
        <f>K242-D242</f>
        <v>0</v>
      </c>
      <c r="S242" s="17">
        <f>IF(R242&gt;0.09,1,0)</f>
        <v>0</v>
      </c>
      <c r="T242" s="17">
        <v>1</v>
      </c>
      <c r="U242" s="17"/>
      <c r="V242" s="17">
        <f>SUM(J242,Q242,S242,T242,U242)</f>
        <v>2</v>
      </c>
      <c r="W242" s="17">
        <v>3</v>
      </c>
      <c r="X242" s="17">
        <v>3</v>
      </c>
      <c r="Y242" s="12">
        <v>0</v>
      </c>
    </row>
    <row r="243" spans="1:25" s="19" customFormat="1" ht="14.25" customHeight="1" x14ac:dyDescent="0.2">
      <c r="A243" s="13">
        <v>68</v>
      </c>
      <c r="B243" s="13">
        <v>133</v>
      </c>
      <c r="C243" s="13">
        <v>78</v>
      </c>
      <c r="D243" s="15">
        <v>1.75</v>
      </c>
      <c r="E243" s="13">
        <v>71</v>
      </c>
      <c r="F243" s="13"/>
      <c r="G243" s="15"/>
      <c r="H243" s="13">
        <v>83</v>
      </c>
      <c r="I243" s="14">
        <f>H243/A243</f>
        <v>1.2205882352941178</v>
      </c>
      <c r="J243" s="13">
        <v>1</v>
      </c>
      <c r="K243" s="15">
        <v>1.75</v>
      </c>
      <c r="L243" s="13"/>
      <c r="M243" s="13"/>
      <c r="N243" s="16"/>
      <c r="O243" s="14"/>
      <c r="P243" s="14"/>
      <c r="Q243" s="17"/>
      <c r="R243" s="18">
        <f>K243-D243</f>
        <v>0</v>
      </c>
      <c r="S243" s="17">
        <f>IF(R243&gt;0.09,1,0)</f>
        <v>0</v>
      </c>
      <c r="T243" s="17">
        <v>1</v>
      </c>
      <c r="U243" s="17"/>
      <c r="V243" s="17">
        <f>SUM(J243,Q243,S243,T243,U243)</f>
        <v>2</v>
      </c>
      <c r="W243" s="17">
        <v>2</v>
      </c>
      <c r="X243" s="17">
        <v>2</v>
      </c>
      <c r="Y243" s="12">
        <v>0</v>
      </c>
    </row>
    <row r="244" spans="1:25" s="19" customFormat="1" ht="14.25" customHeight="1" x14ac:dyDescent="0.2">
      <c r="A244" s="13">
        <v>52</v>
      </c>
      <c r="B244" s="13">
        <v>108</v>
      </c>
      <c r="C244" s="13">
        <v>72</v>
      </c>
      <c r="D244" s="15">
        <v>1</v>
      </c>
      <c r="E244" s="13"/>
      <c r="F244" s="13"/>
      <c r="G244" s="15">
        <v>14.8</v>
      </c>
      <c r="H244" s="13">
        <v>97</v>
      </c>
      <c r="I244" s="14">
        <f>H244/A244</f>
        <v>1.8653846153846154</v>
      </c>
      <c r="J244" s="13">
        <v>0</v>
      </c>
      <c r="K244" s="15">
        <v>1</v>
      </c>
      <c r="L244" s="13"/>
      <c r="M244" s="13"/>
      <c r="N244" s="16">
        <v>18</v>
      </c>
      <c r="O244" s="14">
        <f>N244/G244</f>
        <v>1.2162162162162162</v>
      </c>
      <c r="P244" s="14">
        <f>N244-G244</f>
        <v>3.1999999999999993</v>
      </c>
      <c r="Q244" s="17"/>
      <c r="R244" s="18">
        <f>K244-D244</f>
        <v>0</v>
      </c>
      <c r="S244" s="17">
        <f>IF(R244&gt;0.09,1,0)</f>
        <v>0</v>
      </c>
      <c r="T244" s="17">
        <v>0</v>
      </c>
      <c r="U244" s="17"/>
      <c r="V244" s="17">
        <f>SUM(J244,Q244,S244,T244,U244)</f>
        <v>0</v>
      </c>
      <c r="W244" s="17">
        <v>1</v>
      </c>
      <c r="X244" s="17">
        <v>1</v>
      </c>
      <c r="Y244" s="12">
        <v>0</v>
      </c>
    </row>
    <row r="245" spans="1:25" s="19" customFormat="1" ht="14.25" customHeight="1" x14ac:dyDescent="0.2">
      <c r="A245" s="13">
        <v>76</v>
      </c>
      <c r="B245" s="13">
        <v>128</v>
      </c>
      <c r="C245" s="13">
        <v>83</v>
      </c>
      <c r="D245" s="15">
        <v>1.1200000000000001</v>
      </c>
      <c r="E245" s="13"/>
      <c r="F245" s="13">
        <v>0</v>
      </c>
      <c r="G245" s="15">
        <v>11.3</v>
      </c>
      <c r="H245" s="13">
        <v>107</v>
      </c>
      <c r="I245" s="14">
        <f>H245/A245</f>
        <v>1.4078947368421053</v>
      </c>
      <c r="J245" s="13">
        <v>1</v>
      </c>
      <c r="K245" s="15">
        <v>1.31</v>
      </c>
      <c r="L245" s="13"/>
      <c r="M245" s="13">
        <v>4</v>
      </c>
      <c r="N245" s="16">
        <v>17.2</v>
      </c>
      <c r="O245" s="14">
        <f>N245/G245</f>
        <v>1.5221238938053097</v>
      </c>
      <c r="P245" s="14">
        <f>N245-G245</f>
        <v>5.8999999999999986</v>
      </c>
      <c r="Q245" s="17">
        <f>IF(F245&lt;2,IF(M245&lt;2,0,1),1)</f>
        <v>1</v>
      </c>
      <c r="R245" s="18">
        <f>K245-D245</f>
        <v>0.18999999999999995</v>
      </c>
      <c r="S245" s="17">
        <f>IF(R245&gt;0.09,1,0)</f>
        <v>1</v>
      </c>
      <c r="T245" s="17">
        <v>1</v>
      </c>
      <c r="U245" s="17"/>
      <c r="V245" s="17">
        <f>SUM(J245,Q245,S245,T245,U245)</f>
        <v>4</v>
      </c>
      <c r="W245" s="17">
        <v>5</v>
      </c>
      <c r="X245" s="17">
        <v>6</v>
      </c>
      <c r="Y245" s="12">
        <v>0</v>
      </c>
    </row>
    <row r="246" spans="1:25" s="19" customFormat="1" ht="14.25" customHeight="1" x14ac:dyDescent="0.2">
      <c r="A246" s="13">
        <v>56</v>
      </c>
      <c r="B246" s="13">
        <v>127</v>
      </c>
      <c r="C246" s="13">
        <v>66</v>
      </c>
      <c r="D246" s="15">
        <v>1</v>
      </c>
      <c r="E246" s="13"/>
      <c r="F246" s="13">
        <v>0</v>
      </c>
      <c r="G246" s="15">
        <v>16.600000000000001</v>
      </c>
      <c r="H246" s="13">
        <v>103</v>
      </c>
      <c r="I246" s="14">
        <f>H246/A246</f>
        <v>1.8392857142857142</v>
      </c>
      <c r="J246" s="13">
        <v>0</v>
      </c>
      <c r="K246" s="15">
        <v>1</v>
      </c>
      <c r="L246" s="13"/>
      <c r="M246" s="13">
        <v>2</v>
      </c>
      <c r="N246" s="16">
        <v>19.399999999999999</v>
      </c>
      <c r="O246" s="14">
        <f>N246/G246</f>
        <v>1.1686746987951806</v>
      </c>
      <c r="P246" s="14">
        <f>N246-G246</f>
        <v>2.7999999999999972</v>
      </c>
      <c r="Q246" s="17">
        <f>IF(F246&lt;2,IF(M246&lt;2,0,1),1)</f>
        <v>1</v>
      </c>
      <c r="R246" s="18">
        <f>K246-D246</f>
        <v>0</v>
      </c>
      <c r="S246" s="17">
        <f>IF(R246&gt;0.09,1,0)</f>
        <v>0</v>
      </c>
      <c r="T246" s="17">
        <v>0</v>
      </c>
      <c r="U246" s="17"/>
      <c r="V246" s="17">
        <f>SUM(J246,Q246,S246,T246,U246)</f>
        <v>1</v>
      </c>
      <c r="W246" s="17">
        <v>2</v>
      </c>
      <c r="X246" s="17">
        <v>3</v>
      </c>
      <c r="Y246" s="12">
        <v>1</v>
      </c>
    </row>
    <row r="247" spans="1:25" s="19" customFormat="1" ht="14.25" customHeight="1" x14ac:dyDescent="0.2">
      <c r="A247" s="13">
        <v>51</v>
      </c>
      <c r="B247" s="13">
        <v>114</v>
      </c>
      <c r="C247" s="13">
        <v>74</v>
      </c>
      <c r="D247" s="15">
        <v>1</v>
      </c>
      <c r="E247" s="13"/>
      <c r="F247" s="13">
        <v>0</v>
      </c>
      <c r="G247" s="15">
        <v>12.3</v>
      </c>
      <c r="H247" s="13">
        <v>116</v>
      </c>
      <c r="I247" s="14">
        <f>H247/A247</f>
        <v>2.2745098039215685</v>
      </c>
      <c r="J247" s="13">
        <v>0</v>
      </c>
      <c r="K247" s="15">
        <v>1</v>
      </c>
      <c r="L247" s="13"/>
      <c r="M247" s="13">
        <v>0</v>
      </c>
      <c r="N247" s="16">
        <v>17.399999999999999</v>
      </c>
      <c r="O247" s="14">
        <f>N247/G247</f>
        <v>1.4146341463414631</v>
      </c>
      <c r="P247" s="14">
        <f>N247-G247</f>
        <v>5.0999999999999979</v>
      </c>
      <c r="Q247" s="17">
        <f>IF(F247&lt;2,IF(M247&lt;2,0,1),1)</f>
        <v>0</v>
      </c>
      <c r="R247" s="18">
        <f>K247-D247</f>
        <v>0</v>
      </c>
      <c r="S247" s="17">
        <f>IF(R247&gt;0.09,1,0)</f>
        <v>0</v>
      </c>
      <c r="T247" s="17">
        <v>1</v>
      </c>
      <c r="U247" s="17"/>
      <c r="V247" s="17">
        <f>SUM(J247,Q247,S247,T247,U247)</f>
        <v>1</v>
      </c>
      <c r="W247" s="17">
        <v>1</v>
      </c>
      <c r="X247" s="17">
        <v>1</v>
      </c>
      <c r="Y247" s="12">
        <v>0</v>
      </c>
    </row>
    <row r="248" spans="1:25" s="19" customFormat="1" ht="14.25" customHeight="1" x14ac:dyDescent="0.2">
      <c r="A248" s="13">
        <v>74</v>
      </c>
      <c r="B248" s="13">
        <v>140</v>
      </c>
      <c r="C248" s="13">
        <v>80</v>
      </c>
      <c r="D248" s="15">
        <v>1.31</v>
      </c>
      <c r="E248" s="13"/>
      <c r="F248" s="13">
        <v>0</v>
      </c>
      <c r="G248" s="15">
        <v>15.3</v>
      </c>
      <c r="H248" s="13">
        <v>146</v>
      </c>
      <c r="I248" s="14">
        <f>H248/A248</f>
        <v>1.972972972972973</v>
      </c>
      <c r="J248" s="13">
        <v>0</v>
      </c>
      <c r="K248" s="15">
        <v>1.44</v>
      </c>
      <c r="L248" s="13"/>
      <c r="M248" s="13">
        <v>0</v>
      </c>
      <c r="N248" s="16">
        <v>17</v>
      </c>
      <c r="O248" s="14">
        <f>N248/G248</f>
        <v>1.1111111111111112</v>
      </c>
      <c r="P248" s="14">
        <f>N248-G248</f>
        <v>1.6999999999999993</v>
      </c>
      <c r="Q248" s="17">
        <f>IF(F248&lt;2,IF(M248&lt;2,0,1),1)</f>
        <v>0</v>
      </c>
      <c r="R248" s="18">
        <f>K248-D248</f>
        <v>0.12999999999999989</v>
      </c>
      <c r="S248" s="17">
        <f>IF(R248&gt;0.09,1,0)</f>
        <v>1</v>
      </c>
      <c r="T248" s="17">
        <v>1</v>
      </c>
      <c r="U248" s="17"/>
      <c r="V248" s="17">
        <f>SUM(J248,Q248,S248,T248,U248)</f>
        <v>2</v>
      </c>
      <c r="W248" s="17">
        <v>2</v>
      </c>
      <c r="X248" s="17">
        <v>3</v>
      </c>
      <c r="Y248" s="12">
        <v>0</v>
      </c>
    </row>
    <row r="249" spans="1:25" s="19" customFormat="1" ht="14.25" customHeight="1" x14ac:dyDescent="0.2">
      <c r="A249" s="13">
        <v>54</v>
      </c>
      <c r="B249" s="13">
        <v>101</v>
      </c>
      <c r="C249" s="13">
        <v>70</v>
      </c>
      <c r="D249" s="15">
        <v>1.69</v>
      </c>
      <c r="E249" s="13"/>
      <c r="F249" s="13">
        <v>3</v>
      </c>
      <c r="G249" s="15">
        <v>13.3</v>
      </c>
      <c r="H249" s="13">
        <v>151</v>
      </c>
      <c r="I249" s="14">
        <f>H249/A249</f>
        <v>2.7962962962962963</v>
      </c>
      <c r="J249" s="13">
        <v>0</v>
      </c>
      <c r="K249" s="15">
        <v>1.69</v>
      </c>
      <c r="L249" s="13"/>
      <c r="M249" s="13">
        <v>2</v>
      </c>
      <c r="N249" s="16">
        <v>12.8</v>
      </c>
      <c r="O249" s="14">
        <f>N249/G249</f>
        <v>0.96240601503759393</v>
      </c>
      <c r="P249" s="14">
        <f>N249-G249</f>
        <v>-0.5</v>
      </c>
      <c r="Q249" s="17">
        <f>IF(F249&lt;2,IF(M249&lt;2,0,1),1)</f>
        <v>1</v>
      </c>
      <c r="R249" s="18">
        <f>K249-D249</f>
        <v>0</v>
      </c>
      <c r="S249" s="17">
        <f>IF(R249&gt;0.09,1,0)</f>
        <v>0</v>
      </c>
      <c r="T249" s="17">
        <v>0</v>
      </c>
      <c r="U249" s="17"/>
      <c r="V249" s="17">
        <f>SUM(J249,Q249,S249,T249,U249)</f>
        <v>1</v>
      </c>
      <c r="W249" s="17">
        <v>1</v>
      </c>
      <c r="X249" s="17">
        <v>2</v>
      </c>
      <c r="Y249" s="12">
        <v>1</v>
      </c>
    </row>
    <row r="250" spans="1:25" s="19" customFormat="1" ht="14.25" customHeight="1" x14ac:dyDescent="0.2">
      <c r="A250" s="13">
        <v>75</v>
      </c>
      <c r="B250" s="13">
        <v>127</v>
      </c>
      <c r="C250" s="13">
        <v>80</v>
      </c>
      <c r="D250" s="15">
        <v>1</v>
      </c>
      <c r="E250" s="13"/>
      <c r="F250" s="13">
        <v>0</v>
      </c>
      <c r="G250" s="15">
        <v>17</v>
      </c>
      <c r="H250" s="13">
        <v>142</v>
      </c>
      <c r="I250" s="14">
        <f>H250/A250</f>
        <v>1.8933333333333333</v>
      </c>
      <c r="J250" s="13">
        <v>0</v>
      </c>
      <c r="K250" s="15">
        <v>1.1200000000000001</v>
      </c>
      <c r="L250" s="13"/>
      <c r="M250" s="13">
        <v>0</v>
      </c>
      <c r="N250" s="16">
        <v>19.8</v>
      </c>
      <c r="O250" s="14">
        <f>N250/G250</f>
        <v>1.1647058823529413</v>
      </c>
      <c r="P250" s="14">
        <f>N250-G250</f>
        <v>2.8000000000000007</v>
      </c>
      <c r="Q250" s="17">
        <f>IF(F250&lt;2,IF(M250&lt;2,0,1),1)</f>
        <v>0</v>
      </c>
      <c r="R250" s="18">
        <f>K250-D250</f>
        <v>0.12000000000000011</v>
      </c>
      <c r="S250" s="17">
        <f>IF(R250&gt;0.09,1,0)</f>
        <v>1</v>
      </c>
      <c r="T250" s="17">
        <v>1</v>
      </c>
      <c r="U250" s="17"/>
      <c r="V250" s="17">
        <f>SUM(J250,Q250,S250,T250,U250)</f>
        <v>2</v>
      </c>
      <c r="W250" s="17">
        <v>2</v>
      </c>
      <c r="X250" s="17">
        <v>3</v>
      </c>
      <c r="Y250" s="12">
        <v>0</v>
      </c>
    </row>
    <row r="251" spans="1:25" s="19" customFormat="1" ht="14.25" customHeight="1" x14ac:dyDescent="0.2">
      <c r="A251" s="13">
        <v>52</v>
      </c>
      <c r="B251" s="13">
        <v>123</v>
      </c>
      <c r="C251" s="13">
        <v>82</v>
      </c>
      <c r="D251" s="15">
        <v>1</v>
      </c>
      <c r="E251" s="13"/>
      <c r="F251" s="13">
        <v>0</v>
      </c>
      <c r="G251" s="15">
        <v>17</v>
      </c>
      <c r="H251" s="13">
        <v>126</v>
      </c>
      <c r="I251" s="14">
        <f>H251/A251</f>
        <v>2.4230769230769229</v>
      </c>
      <c r="J251" s="13">
        <v>0</v>
      </c>
      <c r="K251" s="15">
        <v>1</v>
      </c>
      <c r="L251" s="13"/>
      <c r="M251" s="13">
        <v>0</v>
      </c>
      <c r="N251" s="16">
        <v>19</v>
      </c>
      <c r="O251" s="14">
        <f>N251/G251</f>
        <v>1.1176470588235294</v>
      </c>
      <c r="P251" s="14">
        <f>N251-G251</f>
        <v>2</v>
      </c>
      <c r="Q251" s="17">
        <f>IF(F251&lt;2,IF(M251&lt;2,0,1),1)</f>
        <v>0</v>
      </c>
      <c r="R251" s="18">
        <f>K251-D251</f>
        <v>0</v>
      </c>
      <c r="S251" s="17">
        <f>IF(R251&gt;0.09,1,0)</f>
        <v>0</v>
      </c>
      <c r="T251" s="17">
        <v>0</v>
      </c>
      <c r="U251" s="17"/>
      <c r="V251" s="17">
        <f>SUM(J251,Q251,S251,T251,U251)</f>
        <v>0</v>
      </c>
      <c r="W251" s="17">
        <v>0</v>
      </c>
      <c r="X251" s="17">
        <v>0</v>
      </c>
      <c r="Y251" s="12">
        <v>1</v>
      </c>
    </row>
    <row r="252" spans="1:25" s="19" customFormat="1" ht="14.25" customHeight="1" x14ac:dyDescent="0.2">
      <c r="A252" s="13">
        <v>86</v>
      </c>
      <c r="B252" s="13">
        <v>178</v>
      </c>
      <c r="C252" s="13">
        <v>79</v>
      </c>
      <c r="D252" s="15">
        <v>1.06</v>
      </c>
      <c r="E252" s="13"/>
      <c r="F252" s="13">
        <v>0</v>
      </c>
      <c r="G252" s="15">
        <v>20</v>
      </c>
      <c r="H252" s="13">
        <v>126</v>
      </c>
      <c r="I252" s="14">
        <f>H252/A252</f>
        <v>1.4651162790697674</v>
      </c>
      <c r="J252" s="13">
        <v>1</v>
      </c>
      <c r="K252" s="15">
        <v>1.06</v>
      </c>
      <c r="L252" s="13"/>
      <c r="M252" s="13">
        <v>2</v>
      </c>
      <c r="N252" s="16">
        <v>18.899999999999999</v>
      </c>
      <c r="O252" s="14">
        <f>N252/G252</f>
        <v>0.94499999999999995</v>
      </c>
      <c r="P252" s="14">
        <f>N252-G252</f>
        <v>-1.1000000000000014</v>
      </c>
      <c r="Q252" s="17">
        <f>IF(F252&lt;2,IF(M252&lt;2,0,1),1)</f>
        <v>1</v>
      </c>
      <c r="R252" s="18">
        <f>K252-D252</f>
        <v>0</v>
      </c>
      <c r="S252" s="17">
        <f>IF(R252&gt;0.09,1,0)</f>
        <v>0</v>
      </c>
      <c r="T252" s="17">
        <v>1</v>
      </c>
      <c r="U252" s="17"/>
      <c r="V252" s="17">
        <f>SUM(J252,Q252,S252,T252,U252)</f>
        <v>3</v>
      </c>
      <c r="W252" s="17">
        <v>4</v>
      </c>
      <c r="X252" s="17">
        <v>5</v>
      </c>
      <c r="Y252" s="12">
        <v>0</v>
      </c>
    </row>
    <row r="253" spans="1:25" s="19" customFormat="1" ht="14.25" customHeight="1" x14ac:dyDescent="0.2">
      <c r="A253" s="13">
        <v>68</v>
      </c>
      <c r="B253" s="13">
        <v>122</v>
      </c>
      <c r="C253" s="13">
        <v>83</v>
      </c>
      <c r="D253" s="15">
        <v>1</v>
      </c>
      <c r="E253" s="13"/>
      <c r="F253" s="13">
        <v>0</v>
      </c>
      <c r="G253" s="15">
        <v>18</v>
      </c>
      <c r="H253" s="13">
        <v>151</v>
      </c>
      <c r="I253" s="14">
        <f>H253/A253</f>
        <v>2.2205882352941178</v>
      </c>
      <c r="J253" s="13">
        <v>0</v>
      </c>
      <c r="K253" s="15">
        <v>1</v>
      </c>
      <c r="L253" s="13"/>
      <c r="M253" s="13">
        <v>0</v>
      </c>
      <c r="N253" s="16"/>
      <c r="O253" s="14"/>
      <c r="P253" s="14"/>
      <c r="Q253" s="17">
        <f>IF(F253&lt;2,IF(M253&lt;2,0,1),1)</f>
        <v>0</v>
      </c>
      <c r="R253" s="18">
        <f>K253-D253</f>
        <v>0</v>
      </c>
      <c r="S253" s="17">
        <f>IF(R253&gt;0.09,1,0)</f>
        <v>0</v>
      </c>
      <c r="T253" s="17">
        <v>0</v>
      </c>
      <c r="U253" s="17"/>
      <c r="V253" s="17">
        <f>SUM(J253,Q253,S253,T253,U253)</f>
        <v>0</v>
      </c>
      <c r="W253" s="17">
        <v>0</v>
      </c>
      <c r="X253" s="17">
        <v>0</v>
      </c>
      <c r="Y253" s="12">
        <v>0</v>
      </c>
    </row>
    <row r="254" spans="1:25" s="19" customFormat="1" ht="14.25" customHeight="1" x14ac:dyDescent="0.2">
      <c r="A254" s="13">
        <v>43</v>
      </c>
      <c r="B254" s="13">
        <v>106</v>
      </c>
      <c r="C254" s="13">
        <v>74</v>
      </c>
      <c r="D254" s="15">
        <v>1</v>
      </c>
      <c r="E254" s="13"/>
      <c r="F254" s="13">
        <v>5</v>
      </c>
      <c r="G254" s="15">
        <v>17.5</v>
      </c>
      <c r="H254" s="13">
        <v>127</v>
      </c>
      <c r="I254" s="14">
        <f>H254/A254</f>
        <v>2.9534883720930232</v>
      </c>
      <c r="J254" s="13">
        <v>0</v>
      </c>
      <c r="K254" s="15">
        <v>1</v>
      </c>
      <c r="L254" s="13"/>
      <c r="M254" s="13">
        <v>4</v>
      </c>
      <c r="N254" s="16">
        <v>21</v>
      </c>
      <c r="O254" s="14">
        <f>N254/G254</f>
        <v>1.2</v>
      </c>
      <c r="P254" s="14">
        <f>N254-G254</f>
        <v>3.5</v>
      </c>
      <c r="Q254" s="17">
        <f>IF(F254&lt;2,IF(M254&lt;2,0,1),1)</f>
        <v>1</v>
      </c>
      <c r="R254" s="18">
        <f>K254-D254</f>
        <v>0</v>
      </c>
      <c r="S254" s="17">
        <f>IF(R254&gt;0.09,1,0)</f>
        <v>0</v>
      </c>
      <c r="T254" s="17">
        <v>0</v>
      </c>
      <c r="U254" s="17"/>
      <c r="V254" s="17">
        <f>SUM(J254,Q254,S254,T254,U254)</f>
        <v>1</v>
      </c>
      <c r="W254" s="17">
        <v>1</v>
      </c>
      <c r="X254" s="17">
        <v>1</v>
      </c>
      <c r="Y254" s="12">
        <v>0</v>
      </c>
    </row>
    <row r="255" spans="1:25" s="19" customFormat="1" ht="14.25" customHeight="1" x14ac:dyDescent="0.2">
      <c r="A255" s="13">
        <v>64</v>
      </c>
      <c r="B255" s="13">
        <v>151</v>
      </c>
      <c r="C255" s="13">
        <v>73</v>
      </c>
      <c r="D255" s="15">
        <v>1</v>
      </c>
      <c r="E255" s="13"/>
      <c r="F255" s="13">
        <v>1</v>
      </c>
      <c r="G255" s="15">
        <v>15</v>
      </c>
      <c r="H255" s="13">
        <v>118</v>
      </c>
      <c r="I255" s="14">
        <f>H255/A255</f>
        <v>1.84375</v>
      </c>
      <c r="J255" s="13">
        <v>0</v>
      </c>
      <c r="K255" s="15">
        <v>1</v>
      </c>
      <c r="L255" s="13"/>
      <c r="M255" s="13">
        <v>1</v>
      </c>
      <c r="N255" s="16">
        <v>17</v>
      </c>
      <c r="O255" s="14">
        <f>N255/G255</f>
        <v>1.1333333333333333</v>
      </c>
      <c r="P255" s="14">
        <f>N255-G255</f>
        <v>2</v>
      </c>
      <c r="Q255" s="17">
        <f>IF(F255&lt;2,IF(M255&lt;2,0,1),1)</f>
        <v>0</v>
      </c>
      <c r="R255" s="18">
        <f>K255-D255</f>
        <v>0</v>
      </c>
      <c r="S255" s="17">
        <f>IF(R255&gt;0.09,1,0)</f>
        <v>0</v>
      </c>
      <c r="T255" s="17">
        <v>1</v>
      </c>
      <c r="U255" s="17"/>
      <c r="V255" s="17">
        <f>SUM(J255,Q255,S255,T255,U255)</f>
        <v>1</v>
      </c>
      <c r="W255" s="17">
        <v>1</v>
      </c>
      <c r="X255" s="17">
        <v>1</v>
      </c>
      <c r="Y255" s="12">
        <v>0</v>
      </c>
    </row>
    <row r="256" spans="1:25" s="19" customFormat="1" ht="14.25" customHeight="1" x14ac:dyDescent="0.2">
      <c r="A256" s="13">
        <v>78</v>
      </c>
      <c r="B256" s="13">
        <v>128</v>
      </c>
      <c r="C256" s="13">
        <v>98</v>
      </c>
      <c r="D256" s="15">
        <v>1</v>
      </c>
      <c r="E256" s="13"/>
      <c r="F256" s="13">
        <v>1</v>
      </c>
      <c r="G256" s="15">
        <v>16.7</v>
      </c>
      <c r="H256" s="13">
        <v>133</v>
      </c>
      <c r="I256" s="14">
        <f>H256/A256</f>
        <v>1.7051282051282051</v>
      </c>
      <c r="J256" s="13">
        <v>1</v>
      </c>
      <c r="K256" s="15">
        <v>1</v>
      </c>
      <c r="L256" s="13"/>
      <c r="M256" s="13">
        <v>3</v>
      </c>
      <c r="N256" s="16">
        <v>18</v>
      </c>
      <c r="O256" s="14">
        <f>N256/G256</f>
        <v>1.0778443113772456</v>
      </c>
      <c r="P256" s="14">
        <f>N256-G256</f>
        <v>1.3000000000000007</v>
      </c>
      <c r="Q256" s="17">
        <f>IF(F256&lt;2,IF(M256&lt;2,0,1),1)</f>
        <v>1</v>
      </c>
      <c r="R256" s="18">
        <f>K256-D256</f>
        <v>0</v>
      </c>
      <c r="S256" s="17">
        <f>IF(R256&gt;0.09,1,0)</f>
        <v>0</v>
      </c>
      <c r="T256" s="17">
        <v>0</v>
      </c>
      <c r="U256" s="17"/>
      <c r="V256" s="17">
        <f>SUM(J256,Q256,S256,T256,U256)</f>
        <v>2</v>
      </c>
      <c r="W256" s="17">
        <v>2</v>
      </c>
      <c r="X256" s="17">
        <v>2</v>
      </c>
      <c r="Y256" s="12">
        <v>0</v>
      </c>
    </row>
    <row r="257" spans="1:25" s="19" customFormat="1" ht="14.25" customHeight="1" x14ac:dyDescent="0.2">
      <c r="A257" s="13">
        <v>80</v>
      </c>
      <c r="B257" s="13">
        <v>116</v>
      </c>
      <c r="C257" s="13">
        <v>75</v>
      </c>
      <c r="D257" s="15">
        <v>1.25</v>
      </c>
      <c r="E257" s="13"/>
      <c r="F257" s="13">
        <v>0</v>
      </c>
      <c r="G257" s="15"/>
      <c r="H257" s="13">
        <v>144</v>
      </c>
      <c r="I257" s="14">
        <f>H257/A257</f>
        <v>1.8</v>
      </c>
      <c r="J257" s="13">
        <v>1</v>
      </c>
      <c r="K257" s="15">
        <v>1.44</v>
      </c>
      <c r="L257" s="13"/>
      <c r="M257" s="13">
        <v>0</v>
      </c>
      <c r="N257" s="16"/>
      <c r="O257" s="14"/>
      <c r="P257" s="14"/>
      <c r="Q257" s="17">
        <f>IF(F257&lt;2,IF(M257&lt;2,0,1),1)</f>
        <v>0</v>
      </c>
      <c r="R257" s="18">
        <f>K257-D257</f>
        <v>0.18999999999999995</v>
      </c>
      <c r="S257" s="17">
        <f>IF(R257&gt;0.09,1,0)</f>
        <v>1</v>
      </c>
      <c r="T257" s="17">
        <v>1</v>
      </c>
      <c r="U257" s="17"/>
      <c r="V257" s="17">
        <f>SUM(J257,Q257,S257,T257,U257)</f>
        <v>3</v>
      </c>
      <c r="W257" s="17">
        <v>3</v>
      </c>
      <c r="X257" s="17">
        <v>3</v>
      </c>
      <c r="Y257" s="12">
        <v>1</v>
      </c>
    </row>
    <row r="258" spans="1:25" s="19" customFormat="1" ht="14.25" customHeight="1" x14ac:dyDescent="0.2">
      <c r="A258" s="13">
        <v>50</v>
      </c>
      <c r="B258" s="13">
        <v>141</v>
      </c>
      <c r="C258" s="13">
        <v>91</v>
      </c>
      <c r="D258" s="15">
        <v>1</v>
      </c>
      <c r="E258" s="13"/>
      <c r="F258" s="13">
        <v>0</v>
      </c>
      <c r="G258" s="15">
        <v>17.7</v>
      </c>
      <c r="H258" s="13">
        <v>155</v>
      </c>
      <c r="I258" s="14">
        <f>H258/A258</f>
        <v>3.1</v>
      </c>
      <c r="J258" s="13">
        <v>0</v>
      </c>
      <c r="K258" s="15">
        <v>1</v>
      </c>
      <c r="L258" s="13"/>
      <c r="M258" s="13">
        <v>0</v>
      </c>
      <c r="N258" s="16">
        <v>15.8</v>
      </c>
      <c r="O258" s="14">
        <f>N258/G258</f>
        <v>0.89265536723163852</v>
      </c>
      <c r="P258" s="14">
        <f>N258-G258</f>
        <v>-1.8999999999999986</v>
      </c>
      <c r="Q258" s="17">
        <f>IF(F258&lt;2,IF(M258&lt;2,0,1),1)</f>
        <v>0</v>
      </c>
      <c r="R258" s="18">
        <f>K258-D258</f>
        <v>0</v>
      </c>
      <c r="S258" s="17">
        <f>IF(R258&gt;0.09,1,0)</f>
        <v>0</v>
      </c>
      <c r="T258" s="17">
        <v>1</v>
      </c>
      <c r="U258" s="17"/>
      <c r="V258" s="17">
        <f>SUM(J258,Q258,S258,T258,U258)</f>
        <v>1</v>
      </c>
      <c r="W258" s="17">
        <v>1</v>
      </c>
      <c r="X258" s="17">
        <v>2</v>
      </c>
      <c r="Y258" s="12">
        <v>0</v>
      </c>
    </row>
    <row r="259" spans="1:25" s="19" customFormat="1" ht="14.25" customHeight="1" x14ac:dyDescent="0.2">
      <c r="A259" s="13">
        <v>68</v>
      </c>
      <c r="B259" s="13">
        <v>135</v>
      </c>
      <c r="C259" s="13">
        <v>74</v>
      </c>
      <c r="D259" s="15">
        <v>1</v>
      </c>
      <c r="E259" s="13"/>
      <c r="F259" s="13">
        <v>0</v>
      </c>
      <c r="G259" s="15">
        <v>14</v>
      </c>
      <c r="H259" s="13">
        <v>141</v>
      </c>
      <c r="I259" s="14">
        <f>H259/A259</f>
        <v>2.0735294117647061</v>
      </c>
      <c r="J259" s="13">
        <v>0</v>
      </c>
      <c r="K259" s="15">
        <v>1</v>
      </c>
      <c r="L259" s="13"/>
      <c r="M259" s="13">
        <v>0</v>
      </c>
      <c r="N259" s="16">
        <v>12</v>
      </c>
      <c r="O259" s="14">
        <f>N259/G259</f>
        <v>0.8571428571428571</v>
      </c>
      <c r="P259" s="14">
        <f>N259-G259</f>
        <v>-2</v>
      </c>
      <c r="Q259" s="17">
        <f>IF(F259&lt;2,IF(M259&lt;2,0,1),1)</f>
        <v>0</v>
      </c>
      <c r="R259" s="18">
        <f>K259-D259</f>
        <v>0</v>
      </c>
      <c r="S259" s="17">
        <f>IF(R259&gt;0.09,1,0)</f>
        <v>0</v>
      </c>
      <c r="T259" s="17">
        <v>1</v>
      </c>
      <c r="U259" s="17"/>
      <c r="V259" s="17">
        <f>SUM(J259,Q259,S259,T259,U259)</f>
        <v>1</v>
      </c>
      <c r="W259" s="17">
        <v>1</v>
      </c>
      <c r="X259" s="17">
        <v>1</v>
      </c>
      <c r="Y259" s="12">
        <v>0</v>
      </c>
    </row>
    <row r="260" spans="1:25" s="19" customFormat="1" ht="14.25" customHeight="1" x14ac:dyDescent="0.2">
      <c r="A260" s="13">
        <v>61</v>
      </c>
      <c r="B260" s="13">
        <v>137</v>
      </c>
      <c r="C260" s="13">
        <v>103</v>
      </c>
      <c r="D260" s="15">
        <v>1.38</v>
      </c>
      <c r="E260" s="13"/>
      <c r="F260" s="13">
        <v>0</v>
      </c>
      <c r="G260" s="15">
        <v>12.8</v>
      </c>
      <c r="H260" s="13">
        <v>127</v>
      </c>
      <c r="I260" s="14">
        <f>H260/A260</f>
        <v>2.081967213114754</v>
      </c>
      <c r="J260" s="13">
        <v>0</v>
      </c>
      <c r="K260" s="15">
        <v>1.38</v>
      </c>
      <c r="L260" s="13"/>
      <c r="M260" s="13">
        <v>0</v>
      </c>
      <c r="N260" s="16">
        <v>15.4</v>
      </c>
      <c r="O260" s="14">
        <f>N260/G260</f>
        <v>1.203125</v>
      </c>
      <c r="P260" s="14">
        <f>N260-G260</f>
        <v>2.5999999999999996</v>
      </c>
      <c r="Q260" s="17">
        <f>IF(F260&lt;2,IF(M260&lt;2,0,1),1)</f>
        <v>0</v>
      </c>
      <c r="R260" s="18">
        <f>K260-D260</f>
        <v>0</v>
      </c>
      <c r="S260" s="17">
        <f>IF(R260&gt;0.09,1,0)</f>
        <v>0</v>
      </c>
      <c r="T260" s="17">
        <v>1</v>
      </c>
      <c r="U260" s="17"/>
      <c r="V260" s="17">
        <f>SUM(J260,Q260,S260,T260,U260)</f>
        <v>1</v>
      </c>
      <c r="W260" s="17">
        <v>1</v>
      </c>
      <c r="X260" s="17">
        <v>1</v>
      </c>
      <c r="Y260" s="12">
        <v>0</v>
      </c>
    </row>
    <row r="261" spans="1:25" s="19" customFormat="1" ht="14.25" customHeight="1" x14ac:dyDescent="0.2">
      <c r="A261" s="13">
        <v>60</v>
      </c>
      <c r="B261" s="13">
        <v>130</v>
      </c>
      <c r="C261" s="13">
        <v>69</v>
      </c>
      <c r="D261" s="15">
        <v>1</v>
      </c>
      <c r="E261" s="13"/>
      <c r="F261" s="13">
        <v>0</v>
      </c>
      <c r="G261" s="15">
        <v>14.6</v>
      </c>
      <c r="H261" s="13">
        <v>100</v>
      </c>
      <c r="I261" s="14">
        <f>H261/A261</f>
        <v>1.6666666666666667</v>
      </c>
      <c r="J261" s="13">
        <v>1</v>
      </c>
      <c r="K261" s="15">
        <v>1</v>
      </c>
      <c r="L261" s="13"/>
      <c r="M261" s="13">
        <v>0</v>
      </c>
      <c r="N261" s="16">
        <v>17.399999999999999</v>
      </c>
      <c r="O261" s="14">
        <f>N261/G261</f>
        <v>1.1917808219178081</v>
      </c>
      <c r="P261" s="14">
        <f>N261-G261</f>
        <v>2.7999999999999989</v>
      </c>
      <c r="Q261" s="17">
        <f>IF(F261&lt;2,IF(M261&lt;2,0,1),1)</f>
        <v>0</v>
      </c>
      <c r="R261" s="18">
        <f>K261-D261</f>
        <v>0</v>
      </c>
      <c r="S261" s="17">
        <f>IF(R261&gt;0.09,1,0)</f>
        <v>0</v>
      </c>
      <c r="T261" s="17">
        <v>1</v>
      </c>
      <c r="U261" s="17"/>
      <c r="V261" s="17">
        <f>SUM(J261,Q261,S261,T261,U261)</f>
        <v>2</v>
      </c>
      <c r="W261" s="17">
        <v>3</v>
      </c>
      <c r="X261" s="17">
        <v>4</v>
      </c>
      <c r="Y261" s="12">
        <v>1</v>
      </c>
    </row>
    <row r="262" spans="1:25" s="19" customFormat="1" ht="14.25" customHeight="1" x14ac:dyDescent="0.2">
      <c r="A262" s="13">
        <v>110</v>
      </c>
      <c r="B262" s="13">
        <v>132</v>
      </c>
      <c r="C262" s="13">
        <v>89</v>
      </c>
      <c r="D262" s="15">
        <v>1</v>
      </c>
      <c r="E262" s="13"/>
      <c r="F262" s="13">
        <v>0</v>
      </c>
      <c r="G262" s="15"/>
      <c r="H262" s="13">
        <v>166</v>
      </c>
      <c r="I262" s="14">
        <f>H262/A262</f>
        <v>1.509090909090909</v>
      </c>
      <c r="J262" s="13">
        <v>1</v>
      </c>
      <c r="K262" s="15">
        <v>1</v>
      </c>
      <c r="L262" s="13"/>
      <c r="M262" s="13">
        <v>0</v>
      </c>
      <c r="N262" s="16"/>
      <c r="O262" s="14"/>
      <c r="P262" s="14"/>
      <c r="Q262" s="17">
        <f>IF(F262&lt;2,IF(M262&lt;2,0,1),1)</f>
        <v>0</v>
      </c>
      <c r="R262" s="18">
        <f>K262-D262</f>
        <v>0</v>
      </c>
      <c r="S262" s="17">
        <f>IF(R262&gt;0.09,1,0)</f>
        <v>0</v>
      </c>
      <c r="T262" s="17">
        <v>1</v>
      </c>
      <c r="U262" s="17"/>
      <c r="V262" s="17">
        <f>SUM(J262,Q262,S262,T262,U262)</f>
        <v>2</v>
      </c>
      <c r="W262" s="17">
        <v>2</v>
      </c>
      <c r="X262" s="17">
        <v>2</v>
      </c>
      <c r="Y262" s="12">
        <v>0</v>
      </c>
    </row>
    <row r="263" spans="1:25" s="19" customFormat="1" ht="14.25" customHeight="1" x14ac:dyDescent="0.2">
      <c r="A263" s="13">
        <v>60</v>
      </c>
      <c r="B263" s="13">
        <v>149</v>
      </c>
      <c r="C263" s="13">
        <v>74</v>
      </c>
      <c r="D263" s="15">
        <v>1</v>
      </c>
      <c r="E263" s="13"/>
      <c r="F263" s="13">
        <v>0</v>
      </c>
      <c r="G263" s="15">
        <v>12.9</v>
      </c>
      <c r="H263" s="13">
        <v>110</v>
      </c>
      <c r="I263" s="14">
        <f>H263/A263</f>
        <v>1.8333333333333333</v>
      </c>
      <c r="J263" s="13">
        <v>0</v>
      </c>
      <c r="K263" s="15">
        <v>1</v>
      </c>
      <c r="L263" s="13"/>
      <c r="M263" s="13">
        <v>0</v>
      </c>
      <c r="N263" s="16">
        <v>14.9</v>
      </c>
      <c r="O263" s="14">
        <f>N263/G263</f>
        <v>1.1550387596899225</v>
      </c>
      <c r="P263" s="14">
        <f>N263-G263</f>
        <v>2</v>
      </c>
      <c r="Q263" s="17">
        <f>IF(F263&lt;2,IF(M263&lt;2,0,1),1)</f>
        <v>0</v>
      </c>
      <c r="R263" s="18">
        <f>K263-D263</f>
        <v>0</v>
      </c>
      <c r="S263" s="17">
        <f>IF(R263&gt;0.09,1,0)</f>
        <v>0</v>
      </c>
      <c r="T263" s="17">
        <v>1</v>
      </c>
      <c r="U263" s="17"/>
      <c r="V263" s="17">
        <f>SUM(J263,Q263,S263,T263,U263)</f>
        <v>1</v>
      </c>
      <c r="W263" s="17">
        <v>2</v>
      </c>
      <c r="X263" s="17">
        <v>3</v>
      </c>
      <c r="Y263" s="12">
        <v>0</v>
      </c>
    </row>
    <row r="264" spans="1:25" s="19" customFormat="1" ht="14.25" customHeight="1" x14ac:dyDescent="0.2">
      <c r="A264" s="13">
        <v>67</v>
      </c>
      <c r="B264" s="13">
        <v>126</v>
      </c>
      <c r="C264" s="13">
        <v>87</v>
      </c>
      <c r="D264" s="15">
        <v>1.06</v>
      </c>
      <c r="E264" s="13"/>
      <c r="F264" s="13">
        <v>4</v>
      </c>
      <c r="G264" s="15">
        <v>16</v>
      </c>
      <c r="H264" s="13">
        <v>151</v>
      </c>
      <c r="I264" s="14">
        <f>H264/A264</f>
        <v>2.2537313432835822</v>
      </c>
      <c r="J264" s="13">
        <v>0</v>
      </c>
      <c r="K264" s="15">
        <v>1.06</v>
      </c>
      <c r="L264" s="13"/>
      <c r="M264" s="13">
        <v>0</v>
      </c>
      <c r="N264" s="16">
        <v>15.6</v>
      </c>
      <c r="O264" s="14">
        <f>N264/G264</f>
        <v>0.97499999999999998</v>
      </c>
      <c r="P264" s="14">
        <f>N264-G264</f>
        <v>-0.40000000000000036</v>
      </c>
      <c r="Q264" s="17">
        <f>IF(F264&lt;2,IF(M264&lt;2,0,1),1)</f>
        <v>1</v>
      </c>
      <c r="R264" s="18">
        <f>K264-D264</f>
        <v>0</v>
      </c>
      <c r="S264" s="17">
        <f>IF(R264&gt;0.09,1,0)</f>
        <v>0</v>
      </c>
      <c r="T264" s="17">
        <v>1</v>
      </c>
      <c r="U264" s="17"/>
      <c r="V264" s="17">
        <f>SUM(J264,Q264,S264,T264,U264)</f>
        <v>2</v>
      </c>
      <c r="W264" s="17">
        <v>2</v>
      </c>
      <c r="X264" s="17">
        <v>2</v>
      </c>
      <c r="Y264" s="12">
        <v>0</v>
      </c>
    </row>
    <row r="265" spans="1:25" s="19" customFormat="1" ht="14.25" customHeight="1" x14ac:dyDescent="0.2">
      <c r="A265" s="13">
        <v>54</v>
      </c>
      <c r="B265" s="13">
        <v>126</v>
      </c>
      <c r="C265" s="13">
        <v>79</v>
      </c>
      <c r="D265" s="15">
        <v>1</v>
      </c>
      <c r="E265" s="13"/>
      <c r="F265" s="13">
        <v>0</v>
      </c>
      <c r="G265" s="15">
        <v>18.3</v>
      </c>
      <c r="H265" s="13">
        <v>125</v>
      </c>
      <c r="I265" s="14">
        <f>H265/A265</f>
        <v>2.3148148148148149</v>
      </c>
      <c r="J265" s="13">
        <v>0</v>
      </c>
      <c r="K265" s="15">
        <v>1.1200000000000001</v>
      </c>
      <c r="L265" s="13"/>
      <c r="M265" s="13">
        <v>0</v>
      </c>
      <c r="N265" s="16">
        <v>18.399999999999999</v>
      </c>
      <c r="O265" s="14">
        <f>N265/G265</f>
        <v>1.0054644808743167</v>
      </c>
      <c r="P265" s="14">
        <f>N265-G265</f>
        <v>9.9999999999997868E-2</v>
      </c>
      <c r="Q265" s="17">
        <f>IF(F265&lt;2,IF(M265&lt;2,0,1),1)</f>
        <v>0</v>
      </c>
      <c r="R265" s="18">
        <f>K265-D265</f>
        <v>0.12000000000000011</v>
      </c>
      <c r="S265" s="17">
        <f>IF(R265&gt;0.09,1,0)</f>
        <v>1</v>
      </c>
      <c r="T265" s="17">
        <v>1</v>
      </c>
      <c r="U265" s="17"/>
      <c r="V265" s="17">
        <f>SUM(J265,Q265,S265,T265,U265)</f>
        <v>2</v>
      </c>
      <c r="W265" s="17">
        <v>2</v>
      </c>
      <c r="X265" s="17">
        <v>2</v>
      </c>
      <c r="Y265" s="12">
        <v>0</v>
      </c>
    </row>
    <row r="266" spans="1:25" s="19" customFormat="1" ht="14.25" customHeight="1" x14ac:dyDescent="0.2">
      <c r="A266" s="13">
        <v>54</v>
      </c>
      <c r="B266" s="13">
        <v>124</v>
      </c>
      <c r="C266" s="13">
        <v>71</v>
      </c>
      <c r="D266" s="15">
        <v>1</v>
      </c>
      <c r="E266" s="13"/>
      <c r="F266" s="13">
        <v>2</v>
      </c>
      <c r="G266" s="15">
        <v>17.7</v>
      </c>
      <c r="H266" s="13">
        <v>111</v>
      </c>
      <c r="I266" s="14">
        <f>H266/A266</f>
        <v>2.0555555555555554</v>
      </c>
      <c r="J266" s="13">
        <v>0</v>
      </c>
      <c r="K266" s="15">
        <v>1.38</v>
      </c>
      <c r="L266" s="13"/>
      <c r="M266" s="13">
        <v>1</v>
      </c>
      <c r="N266" s="16">
        <v>16</v>
      </c>
      <c r="O266" s="14">
        <f>N266/G266</f>
        <v>0.903954802259887</v>
      </c>
      <c r="P266" s="14">
        <f>N266-G266</f>
        <v>-1.6999999999999993</v>
      </c>
      <c r="Q266" s="17">
        <f>IF(F266&lt;2,IF(M266&lt;2,0,1),1)</f>
        <v>1</v>
      </c>
      <c r="R266" s="18">
        <f>K266-D266</f>
        <v>0.37999999999999989</v>
      </c>
      <c r="S266" s="17">
        <f>IF(R266&gt;0.09,1,0)</f>
        <v>1</v>
      </c>
      <c r="T266" s="17">
        <v>1</v>
      </c>
      <c r="U266" s="17"/>
      <c r="V266" s="17">
        <f>SUM(J266,Q266,S266,T266,U266)</f>
        <v>3</v>
      </c>
      <c r="W266" s="17">
        <v>4</v>
      </c>
      <c r="X266" s="17">
        <v>5</v>
      </c>
      <c r="Y266" s="12">
        <v>0</v>
      </c>
    </row>
    <row r="267" spans="1:25" s="19" customFormat="1" ht="14.25" customHeight="1" x14ac:dyDescent="0.2">
      <c r="A267" s="13">
        <v>56</v>
      </c>
      <c r="B267" s="13">
        <v>133</v>
      </c>
      <c r="C267" s="13">
        <v>68</v>
      </c>
      <c r="D267" s="15">
        <v>1</v>
      </c>
      <c r="E267" s="13"/>
      <c r="F267" s="13">
        <v>0</v>
      </c>
      <c r="G267" s="15"/>
      <c r="H267" s="13">
        <v>115</v>
      </c>
      <c r="I267" s="14">
        <f>H267/A267</f>
        <v>2.0535714285714284</v>
      </c>
      <c r="J267" s="13">
        <v>0</v>
      </c>
      <c r="K267" s="15">
        <v>1.1200000000000001</v>
      </c>
      <c r="L267" s="13"/>
      <c r="M267" s="13">
        <v>4</v>
      </c>
      <c r="N267" s="16"/>
      <c r="O267" s="14"/>
      <c r="P267" s="14"/>
      <c r="Q267" s="17">
        <f>IF(F267&lt;2,IF(M267&lt;2,0,1),1)</f>
        <v>1</v>
      </c>
      <c r="R267" s="18">
        <f>K267-D267</f>
        <v>0.12000000000000011</v>
      </c>
      <c r="S267" s="17">
        <f>IF(R267&gt;0.09,1,0)</f>
        <v>1</v>
      </c>
      <c r="T267" s="17">
        <v>0</v>
      </c>
      <c r="U267" s="17"/>
      <c r="V267" s="17">
        <f>SUM(J267,Q267,S267,T267,U267)</f>
        <v>2</v>
      </c>
      <c r="W267" s="17">
        <v>3</v>
      </c>
      <c r="X267" s="17">
        <v>4</v>
      </c>
      <c r="Y267" s="12">
        <v>0</v>
      </c>
    </row>
    <row r="268" spans="1:25" s="19" customFormat="1" ht="14.25" customHeight="1" x14ac:dyDescent="0.2">
      <c r="A268" s="13">
        <v>75</v>
      </c>
      <c r="B268" s="13">
        <v>127</v>
      </c>
      <c r="C268" s="13">
        <v>92</v>
      </c>
      <c r="D268" s="15">
        <v>1.1200000000000001</v>
      </c>
      <c r="E268" s="13"/>
      <c r="F268" s="13">
        <v>0</v>
      </c>
      <c r="G268" s="15">
        <v>17</v>
      </c>
      <c r="H268" s="13">
        <v>110</v>
      </c>
      <c r="I268" s="14">
        <f>H268/A268</f>
        <v>1.4666666666666666</v>
      </c>
      <c r="J268" s="13">
        <v>1</v>
      </c>
      <c r="K268" s="15">
        <v>1.31</v>
      </c>
      <c r="L268" s="13"/>
      <c r="M268" s="13">
        <v>0</v>
      </c>
      <c r="N268" s="16">
        <v>16.8</v>
      </c>
      <c r="O268" s="14">
        <f>N268/G268</f>
        <v>0.9882352941176471</v>
      </c>
      <c r="P268" s="14">
        <f>N268-G268</f>
        <v>-0.19999999999999929</v>
      </c>
      <c r="Q268" s="17">
        <f>IF(F268&lt;2,IF(M268&lt;2,0,1),1)</f>
        <v>0</v>
      </c>
      <c r="R268" s="18">
        <f>K268-D268</f>
        <v>0.18999999999999995</v>
      </c>
      <c r="S268" s="17">
        <f>IF(R268&gt;0.09,1,0)</f>
        <v>1</v>
      </c>
      <c r="T268" s="17">
        <v>1</v>
      </c>
      <c r="U268" s="17"/>
      <c r="V268" s="17">
        <f>SUM(J268,Q268,S268,T268,U268)</f>
        <v>3</v>
      </c>
      <c r="W268" s="17">
        <v>3</v>
      </c>
      <c r="X268" s="17">
        <v>4</v>
      </c>
      <c r="Y268" s="12">
        <v>1</v>
      </c>
    </row>
    <row r="269" spans="1:25" s="19" customFormat="1" ht="14.25" customHeight="1" x14ac:dyDescent="0.2">
      <c r="A269" s="13">
        <v>94</v>
      </c>
      <c r="B269" s="13">
        <v>108</v>
      </c>
      <c r="C269" s="13">
        <v>77</v>
      </c>
      <c r="D269" s="15">
        <v>1</v>
      </c>
      <c r="E269" s="13"/>
      <c r="F269" s="13">
        <v>0</v>
      </c>
      <c r="G269" s="15">
        <v>18.5</v>
      </c>
      <c r="H269" s="13">
        <v>146</v>
      </c>
      <c r="I269" s="14">
        <f>H269/A269</f>
        <v>1.553191489361702</v>
      </c>
      <c r="J269" s="13">
        <v>1</v>
      </c>
      <c r="K269" s="15">
        <v>1</v>
      </c>
      <c r="L269" s="13"/>
      <c r="M269" s="13">
        <v>0</v>
      </c>
      <c r="N269" s="16">
        <v>19.5</v>
      </c>
      <c r="O269" s="14">
        <f>N269/G269</f>
        <v>1.0540540540540539</v>
      </c>
      <c r="P269" s="14">
        <f>N269-G269</f>
        <v>1</v>
      </c>
      <c r="Q269" s="17">
        <f>IF(F269&lt;2,IF(M269&lt;2,0,1),1)</f>
        <v>0</v>
      </c>
      <c r="R269" s="18">
        <f>K269-D269</f>
        <v>0</v>
      </c>
      <c r="S269" s="17">
        <f>IF(R269&gt;0.09,1,0)</f>
        <v>0</v>
      </c>
      <c r="T269" s="17">
        <v>1</v>
      </c>
      <c r="U269" s="17"/>
      <c r="V269" s="17">
        <f>SUM(J269,Q269,S269,T269,U269)</f>
        <v>2</v>
      </c>
      <c r="W269" s="17">
        <v>2</v>
      </c>
      <c r="X269" s="17">
        <v>2</v>
      </c>
      <c r="Y269" s="12">
        <v>0</v>
      </c>
    </row>
    <row r="270" spans="1:25" s="19" customFormat="1" ht="14.25" customHeight="1" x14ac:dyDescent="0.2">
      <c r="A270" s="13">
        <v>95</v>
      </c>
      <c r="B270" s="13">
        <v>148</v>
      </c>
      <c r="C270" s="13">
        <v>88</v>
      </c>
      <c r="D270" s="15">
        <v>1</v>
      </c>
      <c r="E270" s="13"/>
      <c r="F270" s="13">
        <v>0</v>
      </c>
      <c r="G270" s="15">
        <v>22.4</v>
      </c>
      <c r="H270" s="13">
        <v>134</v>
      </c>
      <c r="I270" s="14">
        <f>H270/A270</f>
        <v>1.4105263157894736</v>
      </c>
      <c r="J270" s="13">
        <v>1</v>
      </c>
      <c r="K270" s="15">
        <v>1</v>
      </c>
      <c r="L270" s="13"/>
      <c r="M270" s="13">
        <v>0</v>
      </c>
      <c r="N270" s="16">
        <v>21.5</v>
      </c>
      <c r="O270" s="14">
        <f>N270/G270</f>
        <v>0.9598214285714286</v>
      </c>
      <c r="P270" s="14">
        <f>N270-G270</f>
        <v>-0.89999999999999858</v>
      </c>
      <c r="Q270" s="17">
        <f>IF(F270&lt;2,IF(M270&lt;2,0,1),1)</f>
        <v>0</v>
      </c>
      <c r="R270" s="18">
        <f>K270-D270</f>
        <v>0</v>
      </c>
      <c r="S270" s="17">
        <f>IF(R270&gt;0.09,1,0)</f>
        <v>0</v>
      </c>
      <c r="T270" s="17">
        <v>1</v>
      </c>
      <c r="U270" s="17"/>
      <c r="V270" s="17">
        <f>SUM(J270,Q270,S270,T270,U270)</f>
        <v>2</v>
      </c>
      <c r="W270" s="17">
        <v>3</v>
      </c>
      <c r="X270" s="17">
        <v>3</v>
      </c>
      <c r="Y270" s="12">
        <v>0</v>
      </c>
    </row>
    <row r="271" spans="1:25" s="19" customFormat="1" ht="14.25" customHeight="1" x14ac:dyDescent="0.2">
      <c r="A271" s="13">
        <v>64</v>
      </c>
      <c r="B271" s="13">
        <v>127</v>
      </c>
      <c r="C271" s="13">
        <v>96</v>
      </c>
      <c r="D271" s="15">
        <v>1</v>
      </c>
      <c r="E271" s="13"/>
      <c r="F271" s="13">
        <v>0</v>
      </c>
      <c r="G271" s="15">
        <v>17.600000000000001</v>
      </c>
      <c r="H271" s="13">
        <v>111</v>
      </c>
      <c r="I271" s="14">
        <f>H271/A271</f>
        <v>1.734375</v>
      </c>
      <c r="J271" s="13">
        <v>1</v>
      </c>
      <c r="K271" s="15">
        <v>1</v>
      </c>
      <c r="L271" s="13"/>
      <c r="M271" s="13">
        <v>4</v>
      </c>
      <c r="N271" s="16">
        <v>22.4</v>
      </c>
      <c r="O271" s="14">
        <f>N271/G271</f>
        <v>1.2727272727272725</v>
      </c>
      <c r="P271" s="14">
        <f>N271-G271</f>
        <v>4.7999999999999972</v>
      </c>
      <c r="Q271" s="17">
        <f>IF(F271&lt;2,IF(M271&lt;2,0,1),1)</f>
        <v>1</v>
      </c>
      <c r="R271" s="18">
        <f>K271-D271</f>
        <v>0</v>
      </c>
      <c r="S271" s="17">
        <f>IF(R271&gt;0.09,1,0)</f>
        <v>0</v>
      </c>
      <c r="T271" s="17">
        <v>1</v>
      </c>
      <c r="U271" s="17"/>
      <c r="V271" s="17">
        <f>SUM(J271,Q271,S271,T271,U271)</f>
        <v>3</v>
      </c>
      <c r="W271" s="17">
        <v>3</v>
      </c>
      <c r="X271" s="17">
        <v>3</v>
      </c>
      <c r="Y271" s="12">
        <v>0</v>
      </c>
    </row>
    <row r="272" spans="1:25" s="19" customFormat="1" ht="14.25" customHeight="1" x14ac:dyDescent="0.2">
      <c r="A272" s="13">
        <v>74</v>
      </c>
      <c r="B272" s="13">
        <v>130</v>
      </c>
      <c r="C272" s="13">
        <v>80</v>
      </c>
      <c r="D272" s="15">
        <v>1.1200000000000001</v>
      </c>
      <c r="E272" s="13"/>
      <c r="F272" s="13"/>
      <c r="G272" s="15"/>
      <c r="H272" s="13">
        <v>139</v>
      </c>
      <c r="I272" s="14">
        <f>H272/A272</f>
        <v>1.8783783783783783</v>
      </c>
      <c r="J272" s="13">
        <v>0</v>
      </c>
      <c r="K272" s="15">
        <v>1.1200000000000001</v>
      </c>
      <c r="L272" s="13"/>
      <c r="M272" s="13"/>
      <c r="N272" s="16"/>
      <c r="O272" s="14"/>
      <c r="P272" s="14"/>
      <c r="Q272" s="17"/>
      <c r="R272" s="18">
        <f>K272-D272</f>
        <v>0</v>
      </c>
      <c r="S272" s="17">
        <f>IF(R272&gt;0.09,1,0)</f>
        <v>0</v>
      </c>
      <c r="T272" s="17">
        <v>0</v>
      </c>
      <c r="U272" s="17"/>
      <c r="V272" s="17">
        <f>SUM(J272,Q272,S272,T272,U272)</f>
        <v>0</v>
      </c>
      <c r="W272" s="17">
        <v>0</v>
      </c>
      <c r="X272" s="17">
        <v>0</v>
      </c>
      <c r="Y272" s="42">
        <v>0</v>
      </c>
    </row>
    <row r="273" spans="1:25" s="19" customFormat="1" ht="14.25" customHeight="1" x14ac:dyDescent="0.2">
      <c r="A273" s="13">
        <v>70</v>
      </c>
      <c r="B273" s="13">
        <v>124</v>
      </c>
      <c r="C273" s="13">
        <v>82</v>
      </c>
      <c r="D273" s="15">
        <v>1</v>
      </c>
      <c r="E273" s="13"/>
      <c r="F273" s="13">
        <v>3</v>
      </c>
      <c r="G273" s="15">
        <v>17.8</v>
      </c>
      <c r="H273" s="13">
        <v>142</v>
      </c>
      <c r="I273" s="14">
        <f>H273/A273</f>
        <v>2.0285714285714285</v>
      </c>
      <c r="J273" s="13">
        <v>0</v>
      </c>
      <c r="K273" s="15">
        <v>1</v>
      </c>
      <c r="L273" s="13"/>
      <c r="M273" s="13">
        <v>2</v>
      </c>
      <c r="N273" s="16">
        <v>23</v>
      </c>
      <c r="O273" s="14">
        <f>N273/G273</f>
        <v>1.2921348314606742</v>
      </c>
      <c r="P273" s="14">
        <f>N273-G273</f>
        <v>5.1999999999999993</v>
      </c>
      <c r="Q273" s="17">
        <f>IF(F273&lt;2,IF(M273&lt;2,0,1),1)</f>
        <v>1</v>
      </c>
      <c r="R273" s="18">
        <f>K273-D273</f>
        <v>0</v>
      </c>
      <c r="S273" s="17">
        <f>IF(R273&gt;0.09,1,0)</f>
        <v>0</v>
      </c>
      <c r="T273" s="17">
        <v>0</v>
      </c>
      <c r="U273" s="17"/>
      <c r="V273" s="17">
        <f>SUM(J273,Q273,S273,T273,U273)</f>
        <v>1</v>
      </c>
      <c r="W273" s="17">
        <v>1</v>
      </c>
      <c r="X273" s="17">
        <v>1</v>
      </c>
      <c r="Y273" s="12">
        <v>0</v>
      </c>
    </row>
    <row r="274" spans="1:25" s="19" customFormat="1" ht="14.25" customHeight="1" x14ac:dyDescent="0.2">
      <c r="A274" s="13">
        <v>94</v>
      </c>
      <c r="B274" s="13">
        <v>141</v>
      </c>
      <c r="C274" s="13">
        <v>75</v>
      </c>
      <c r="D274" s="15">
        <v>1</v>
      </c>
      <c r="E274" s="13"/>
      <c r="F274" s="13">
        <v>0</v>
      </c>
      <c r="G274" s="15">
        <v>18.399999999999999</v>
      </c>
      <c r="H274" s="13">
        <v>142</v>
      </c>
      <c r="I274" s="14">
        <f>H274/A274</f>
        <v>1.5106382978723405</v>
      </c>
      <c r="J274" s="13">
        <v>1</v>
      </c>
      <c r="K274" s="15">
        <v>1.1200000000000001</v>
      </c>
      <c r="L274" s="13"/>
      <c r="M274" s="13">
        <v>0</v>
      </c>
      <c r="N274" s="16">
        <v>15.1</v>
      </c>
      <c r="O274" s="14">
        <f>N274/G274</f>
        <v>0.82065217391304357</v>
      </c>
      <c r="P274" s="14">
        <f>N274-G274</f>
        <v>-3.2999999999999989</v>
      </c>
      <c r="Q274" s="17">
        <f>IF(F274&lt;2,IF(M274&lt;2,0,1),1)</f>
        <v>0</v>
      </c>
      <c r="R274" s="18">
        <f>K274-D274</f>
        <v>0.12000000000000011</v>
      </c>
      <c r="S274" s="17">
        <f>IF(R274&gt;0.09,1,0)</f>
        <v>1</v>
      </c>
      <c r="T274" s="17">
        <v>0</v>
      </c>
      <c r="U274" s="17"/>
      <c r="V274" s="17">
        <f>SUM(J274,Q274,S274,T274,U274)</f>
        <v>2</v>
      </c>
      <c r="W274" s="17">
        <v>2</v>
      </c>
      <c r="X274" s="17">
        <v>3</v>
      </c>
      <c r="Y274" s="13">
        <v>1</v>
      </c>
    </row>
    <row r="275" spans="1:25" s="19" customFormat="1" ht="12.75" x14ac:dyDescent="0.2">
      <c r="A275" s="26">
        <v>75</v>
      </c>
      <c r="B275" s="26">
        <v>102</v>
      </c>
      <c r="C275" s="26">
        <v>75</v>
      </c>
      <c r="D275" s="27">
        <v>1</v>
      </c>
      <c r="E275" s="26">
        <v>13</v>
      </c>
      <c r="F275" s="26">
        <v>0</v>
      </c>
      <c r="G275" s="27"/>
      <c r="H275" s="26">
        <v>139</v>
      </c>
      <c r="I275" s="14">
        <f>H275/A275</f>
        <v>1.8533333333333333</v>
      </c>
      <c r="J275" s="26">
        <v>0</v>
      </c>
      <c r="K275" s="27">
        <v>1</v>
      </c>
      <c r="L275" s="26">
        <v>30</v>
      </c>
      <c r="M275" s="26">
        <v>1</v>
      </c>
      <c r="N275" s="28"/>
      <c r="O275" s="14"/>
      <c r="P275" s="14"/>
      <c r="Q275" s="17">
        <f>IF(F275&lt;2,IF(M275&lt;2,0,1),1)</f>
        <v>0</v>
      </c>
      <c r="R275" s="18">
        <f>K275-D275</f>
        <v>0</v>
      </c>
      <c r="S275" s="17">
        <f>IF(R275&gt;0.09,1,0)</f>
        <v>0</v>
      </c>
      <c r="T275" s="29">
        <v>0</v>
      </c>
      <c r="U275" s="29">
        <v>0</v>
      </c>
      <c r="V275" s="17">
        <f>SUM(J275,Q275,S275,T275,U275)</f>
        <v>0</v>
      </c>
      <c r="W275" s="17">
        <v>0</v>
      </c>
      <c r="X275" s="17">
        <v>1</v>
      </c>
      <c r="Y275" s="19">
        <v>0</v>
      </c>
    </row>
    <row r="276" spans="1:25" s="19" customFormat="1" ht="12.75" x14ac:dyDescent="0.2">
      <c r="A276" s="26">
        <v>88</v>
      </c>
      <c r="B276" s="26">
        <v>134</v>
      </c>
      <c r="C276" s="26">
        <v>93</v>
      </c>
      <c r="D276" s="27">
        <v>1</v>
      </c>
      <c r="E276" s="26">
        <v>21</v>
      </c>
      <c r="F276" s="26">
        <v>3</v>
      </c>
      <c r="G276" s="27">
        <v>18.2</v>
      </c>
      <c r="H276" s="26">
        <v>133</v>
      </c>
      <c r="I276" s="14">
        <f>H276/A276</f>
        <v>1.5113636363636365</v>
      </c>
      <c r="J276" s="26">
        <v>1</v>
      </c>
      <c r="K276" s="27">
        <v>1</v>
      </c>
      <c r="L276" s="26">
        <v>30</v>
      </c>
      <c r="M276" s="26">
        <v>0</v>
      </c>
      <c r="N276" s="28">
        <v>18.8</v>
      </c>
      <c r="O276" s="14">
        <f>N276/G276</f>
        <v>1.0329670329670331</v>
      </c>
      <c r="P276" s="14">
        <f>N276-G276</f>
        <v>0.60000000000000142</v>
      </c>
      <c r="Q276" s="17">
        <f>IF(F276&lt;2,IF(M276&lt;2,0,1),1)</f>
        <v>1</v>
      </c>
      <c r="R276" s="18">
        <f>K276-D276</f>
        <v>0</v>
      </c>
      <c r="S276" s="17">
        <f>IF(R276&gt;0.09,1,0)</f>
        <v>0</v>
      </c>
      <c r="T276" s="29">
        <v>1</v>
      </c>
      <c r="U276" s="29">
        <v>1</v>
      </c>
      <c r="V276" s="17">
        <f>SUM(J276,Q276,S276,T276,U276)</f>
        <v>4</v>
      </c>
      <c r="W276" s="17">
        <v>4</v>
      </c>
      <c r="X276" s="17">
        <v>4</v>
      </c>
      <c r="Y276" s="19">
        <v>0</v>
      </c>
    </row>
    <row r="277" spans="1:25" s="19" customFormat="1" ht="12.75" x14ac:dyDescent="0.2">
      <c r="A277" s="26">
        <v>68</v>
      </c>
      <c r="B277" s="26">
        <v>122</v>
      </c>
      <c r="C277" s="26">
        <v>81</v>
      </c>
      <c r="D277" s="27">
        <v>1</v>
      </c>
      <c r="E277" s="26">
        <v>17</v>
      </c>
      <c r="F277" s="26">
        <v>4</v>
      </c>
      <c r="G277" s="27">
        <v>18.399999999999999</v>
      </c>
      <c r="H277" s="26">
        <v>86</v>
      </c>
      <c r="I277" s="14">
        <f>H277/A277</f>
        <v>1.2647058823529411</v>
      </c>
      <c r="J277" s="26">
        <v>1</v>
      </c>
      <c r="K277" s="27">
        <v>1.19</v>
      </c>
      <c r="L277" s="26">
        <v>34.5</v>
      </c>
      <c r="M277" s="26">
        <v>6</v>
      </c>
      <c r="N277" s="28">
        <v>14.7</v>
      </c>
      <c r="O277" s="14">
        <f>N277/G277</f>
        <v>0.79891304347826086</v>
      </c>
      <c r="P277" s="14">
        <f>N277-G277</f>
        <v>-3.6999999999999993</v>
      </c>
      <c r="Q277" s="17">
        <f>IF(F277&lt;2,IF(M277&lt;2,0,1),1)</f>
        <v>1</v>
      </c>
      <c r="R277" s="18">
        <f>K277-D277</f>
        <v>0.18999999999999995</v>
      </c>
      <c r="S277" s="17">
        <f>IF(R277&gt;0.09,1,0)</f>
        <v>1</v>
      </c>
      <c r="T277" s="29">
        <v>1</v>
      </c>
      <c r="U277" s="29">
        <v>0</v>
      </c>
      <c r="V277" s="17">
        <f>SUM(J277,Q277,S277,T277,U277)</f>
        <v>4</v>
      </c>
      <c r="W277" s="17">
        <v>5</v>
      </c>
      <c r="X277" s="17">
        <v>5</v>
      </c>
      <c r="Y277" s="19">
        <v>0</v>
      </c>
    </row>
    <row r="278" spans="1:25" s="19" customFormat="1" ht="12.75" x14ac:dyDescent="0.2">
      <c r="A278" s="26">
        <v>78</v>
      </c>
      <c r="B278" s="26">
        <v>115</v>
      </c>
      <c r="C278" s="26">
        <v>78</v>
      </c>
      <c r="D278" s="27">
        <v>1</v>
      </c>
      <c r="E278" s="26">
        <v>24</v>
      </c>
      <c r="F278" s="26">
        <v>0</v>
      </c>
      <c r="G278" s="27">
        <v>14.9</v>
      </c>
      <c r="H278" s="26">
        <v>142</v>
      </c>
      <c r="I278" s="14">
        <f>H278/A278</f>
        <v>1.8205128205128205</v>
      </c>
      <c r="J278" s="26">
        <v>0</v>
      </c>
      <c r="K278" s="27">
        <v>1</v>
      </c>
      <c r="L278" s="26">
        <v>51</v>
      </c>
      <c r="M278" s="26">
        <v>2</v>
      </c>
      <c r="N278" s="28">
        <v>18.8</v>
      </c>
      <c r="O278" s="14">
        <f>N278/G278</f>
        <v>1.261744966442953</v>
      </c>
      <c r="P278" s="14">
        <f>N278-G278</f>
        <v>3.9000000000000004</v>
      </c>
      <c r="Q278" s="17">
        <f>IF(F278&lt;2,IF(M278&lt;2,0,1),1)</f>
        <v>1</v>
      </c>
      <c r="R278" s="18">
        <f>K278-D278</f>
        <v>0</v>
      </c>
      <c r="S278" s="17">
        <f>IF(R278&gt;0.09,1,0)</f>
        <v>0</v>
      </c>
      <c r="T278" s="29">
        <v>0</v>
      </c>
      <c r="U278" s="29">
        <v>0</v>
      </c>
      <c r="V278" s="17">
        <f>SUM(J278,Q278,S278,T278,U278)</f>
        <v>1</v>
      </c>
      <c r="W278" s="17">
        <v>1</v>
      </c>
      <c r="X278" s="17">
        <v>1</v>
      </c>
      <c r="Y278" s="19">
        <v>0</v>
      </c>
    </row>
    <row r="279" spans="1:25" s="19" customFormat="1" ht="12.75" x14ac:dyDescent="0.2">
      <c r="A279" s="26">
        <v>50</v>
      </c>
      <c r="B279" s="26">
        <v>119</v>
      </c>
      <c r="C279" s="26">
        <v>91</v>
      </c>
      <c r="D279" s="27">
        <v>1</v>
      </c>
      <c r="E279" s="26">
        <v>10</v>
      </c>
      <c r="F279" s="26">
        <v>1</v>
      </c>
      <c r="G279" s="27">
        <v>9.1999999999999993</v>
      </c>
      <c r="H279" s="26">
        <v>106</v>
      </c>
      <c r="I279" s="14">
        <f>H279/A279</f>
        <v>2.12</v>
      </c>
      <c r="J279" s="26">
        <v>0</v>
      </c>
      <c r="K279" s="27">
        <v>1</v>
      </c>
      <c r="L279" s="26">
        <v>25</v>
      </c>
      <c r="M279" s="26"/>
      <c r="N279" s="28">
        <v>14.4</v>
      </c>
      <c r="O279" s="14">
        <f>N279/G279</f>
        <v>1.5652173913043479</v>
      </c>
      <c r="P279" s="14">
        <f>N279-G279</f>
        <v>5.2000000000000011</v>
      </c>
      <c r="Q279" s="17"/>
      <c r="R279" s="18">
        <f>K279-D279</f>
        <v>0</v>
      </c>
      <c r="S279" s="17">
        <f>IF(R279&gt;0.09,1,0)</f>
        <v>0</v>
      </c>
      <c r="T279" s="29">
        <v>1</v>
      </c>
      <c r="U279" s="29">
        <v>0</v>
      </c>
      <c r="V279" s="17">
        <f>SUM(J279,Q279,S279,T279,U279)</f>
        <v>1</v>
      </c>
      <c r="W279" s="17">
        <v>1</v>
      </c>
      <c r="X279" s="17">
        <v>2</v>
      </c>
      <c r="Y279" s="19">
        <v>0</v>
      </c>
    </row>
    <row r="280" spans="1:25" s="19" customFormat="1" ht="12.75" x14ac:dyDescent="0.2">
      <c r="A280" s="26">
        <v>53</v>
      </c>
      <c r="B280" s="26">
        <v>110</v>
      </c>
      <c r="C280" s="26">
        <v>68</v>
      </c>
      <c r="D280" s="27">
        <v>1</v>
      </c>
      <c r="E280" s="26">
        <v>13</v>
      </c>
      <c r="F280" s="26">
        <v>2</v>
      </c>
      <c r="G280" s="27">
        <v>14.5</v>
      </c>
      <c r="H280" s="26">
        <v>123</v>
      </c>
      <c r="I280" s="14">
        <f>H280/A280</f>
        <v>2.3207547169811322</v>
      </c>
      <c r="J280" s="26">
        <v>0</v>
      </c>
      <c r="K280" s="27">
        <v>1</v>
      </c>
      <c r="L280" s="26">
        <v>41</v>
      </c>
      <c r="M280" s="26">
        <v>5</v>
      </c>
      <c r="N280" s="28"/>
      <c r="O280" s="14"/>
      <c r="P280" s="14"/>
      <c r="Q280" s="17">
        <f>IF(F280&lt;2,IF(M280&lt;2,0,1),1)</f>
        <v>1</v>
      </c>
      <c r="R280" s="18">
        <f>K280-D280</f>
        <v>0</v>
      </c>
      <c r="S280" s="17">
        <f>IF(R280&gt;0.09,1,0)</f>
        <v>0</v>
      </c>
      <c r="T280" s="29">
        <v>1</v>
      </c>
      <c r="U280" s="29">
        <v>0</v>
      </c>
      <c r="V280" s="17">
        <f>SUM(J280,Q280,S280,T280,U280)</f>
        <v>2</v>
      </c>
      <c r="W280" s="17">
        <v>3</v>
      </c>
      <c r="X280" s="17">
        <v>4</v>
      </c>
      <c r="Y280" s="19">
        <v>0</v>
      </c>
    </row>
    <row r="281" spans="1:25" s="19" customFormat="1" ht="12.75" x14ac:dyDescent="0.2">
      <c r="A281" s="26">
        <v>60</v>
      </c>
      <c r="B281" s="26">
        <v>124</v>
      </c>
      <c r="C281" s="26">
        <v>68</v>
      </c>
      <c r="D281" s="27">
        <v>1</v>
      </c>
      <c r="E281" s="26">
        <v>69</v>
      </c>
      <c r="F281" s="26">
        <v>0</v>
      </c>
      <c r="G281" s="27">
        <v>20.7</v>
      </c>
      <c r="H281" s="26">
        <v>93</v>
      </c>
      <c r="I281" s="14">
        <f>H281/A281</f>
        <v>1.55</v>
      </c>
      <c r="J281" s="26">
        <v>0</v>
      </c>
      <c r="K281" s="27">
        <v>1.1200000000000001</v>
      </c>
      <c r="L281" s="26">
        <v>95</v>
      </c>
      <c r="M281" s="26">
        <v>0</v>
      </c>
      <c r="N281" s="28">
        <v>17</v>
      </c>
      <c r="O281" s="14">
        <f>N281/G281</f>
        <v>0.82125603864734298</v>
      </c>
      <c r="P281" s="14">
        <f>N281-G281</f>
        <v>-3.6999999999999993</v>
      </c>
      <c r="Q281" s="17">
        <f>IF(F281&lt;2,IF(M281&lt;2,0,1),1)</f>
        <v>0</v>
      </c>
      <c r="R281" s="18">
        <f>K281-D281</f>
        <v>0.12000000000000011</v>
      </c>
      <c r="S281" s="17">
        <f>IF(R281&gt;0.09,1,0)</f>
        <v>1</v>
      </c>
      <c r="T281" s="29">
        <v>1</v>
      </c>
      <c r="U281" s="29">
        <v>1</v>
      </c>
      <c r="V281" s="17">
        <f>SUM(J281,Q281,S281,T281,U281)</f>
        <v>3</v>
      </c>
      <c r="W281" s="17">
        <v>3</v>
      </c>
      <c r="X281" s="17">
        <v>3</v>
      </c>
      <c r="Y281" s="19">
        <v>1</v>
      </c>
    </row>
    <row r="282" spans="1:25" s="19" customFormat="1" ht="12.75" x14ac:dyDescent="0.2">
      <c r="A282" s="26">
        <v>59</v>
      </c>
      <c r="B282" s="26">
        <v>129</v>
      </c>
      <c r="C282" s="26">
        <v>90</v>
      </c>
      <c r="D282" s="27">
        <v>1</v>
      </c>
      <c r="E282" s="26">
        <v>34</v>
      </c>
      <c r="F282" s="26">
        <v>1</v>
      </c>
      <c r="G282" s="27">
        <v>14.1</v>
      </c>
      <c r="H282" s="26">
        <v>140</v>
      </c>
      <c r="I282" s="14">
        <f>H282/A282</f>
        <v>2.3728813559322033</v>
      </c>
      <c r="J282" s="26">
        <v>0</v>
      </c>
      <c r="K282" s="27">
        <v>1</v>
      </c>
      <c r="L282" s="26">
        <v>55</v>
      </c>
      <c r="M282" s="26">
        <v>6</v>
      </c>
      <c r="N282" s="28">
        <v>18.600000000000001</v>
      </c>
      <c r="O282" s="14">
        <f>N282/G282</f>
        <v>1.3191489361702129</v>
      </c>
      <c r="P282" s="14">
        <f>N282-G282</f>
        <v>4.5000000000000018</v>
      </c>
      <c r="Q282" s="17">
        <f>IF(F282&lt;2,IF(M282&lt;2,0,1),1)</f>
        <v>1</v>
      </c>
      <c r="R282" s="18">
        <f>K282-D282</f>
        <v>0</v>
      </c>
      <c r="S282" s="17">
        <f>IF(R282&gt;0.09,1,0)</f>
        <v>0</v>
      </c>
      <c r="T282" s="29">
        <v>0</v>
      </c>
      <c r="U282" s="29">
        <v>1</v>
      </c>
      <c r="V282" s="17">
        <f>SUM(J282,Q282,S282,T282,U282)</f>
        <v>2</v>
      </c>
      <c r="W282" s="17">
        <v>2</v>
      </c>
      <c r="X282" s="17">
        <v>3</v>
      </c>
      <c r="Y282" s="19">
        <v>1</v>
      </c>
    </row>
    <row r="283" spans="1:25" s="19" customFormat="1" x14ac:dyDescent="0.25">
      <c r="A283" s="26">
        <v>60</v>
      </c>
      <c r="B283" s="26">
        <v>106</v>
      </c>
      <c r="C283" s="26">
        <v>71</v>
      </c>
      <c r="D283" s="27">
        <v>1.06</v>
      </c>
      <c r="E283" s="26">
        <v>24</v>
      </c>
      <c r="F283" s="26">
        <v>1</v>
      </c>
      <c r="G283" s="27">
        <v>19.399999999999999</v>
      </c>
      <c r="H283" s="26">
        <v>83</v>
      </c>
      <c r="I283" s="14">
        <f>H283/A283</f>
        <v>1.3833333333333333</v>
      </c>
      <c r="J283" s="26">
        <v>0</v>
      </c>
      <c r="K283" s="27">
        <v>1.25</v>
      </c>
      <c r="L283" s="26">
        <v>35</v>
      </c>
      <c r="M283" s="26">
        <v>0</v>
      </c>
      <c r="N283" s="28">
        <v>20.7</v>
      </c>
      <c r="O283" s="14">
        <f>N283/G283</f>
        <v>1.0670103092783505</v>
      </c>
      <c r="P283" s="14">
        <f>N283-G283</f>
        <v>1.3000000000000007</v>
      </c>
      <c r="Q283" s="17">
        <f>IF(F283&lt;2,IF(M283&lt;2,0,1),1)</f>
        <v>0</v>
      </c>
      <c r="R283" s="18">
        <f>K283-D283</f>
        <v>0.18999999999999995</v>
      </c>
      <c r="S283" s="17">
        <f>IF(R283&gt;0.09,1,0)</f>
        <v>1</v>
      </c>
      <c r="T283" s="29">
        <v>1</v>
      </c>
      <c r="U283" s="29">
        <v>1</v>
      </c>
      <c r="V283" s="17">
        <f>SUM(J283,Q283,S283,T283,U283)</f>
        <v>3</v>
      </c>
      <c r="W283" s="17">
        <v>4</v>
      </c>
      <c r="X283" s="17">
        <v>4</v>
      </c>
      <c r="Y283" s="37">
        <v>0</v>
      </c>
    </row>
    <row r="284" spans="1:25" s="19" customFormat="1" x14ac:dyDescent="0.25">
      <c r="A284" s="26">
        <v>65</v>
      </c>
      <c r="B284" s="26">
        <v>133</v>
      </c>
      <c r="C284" s="26">
        <v>69</v>
      </c>
      <c r="D284" s="27">
        <v>1</v>
      </c>
      <c r="E284" s="26">
        <v>27</v>
      </c>
      <c r="F284" s="26">
        <v>0</v>
      </c>
      <c r="G284" s="27">
        <v>18</v>
      </c>
      <c r="H284" s="26">
        <v>79</v>
      </c>
      <c r="I284" s="14">
        <f>H284/A284</f>
        <v>1.2153846153846153</v>
      </c>
      <c r="J284" s="26">
        <v>1</v>
      </c>
      <c r="K284" s="27">
        <v>1</v>
      </c>
      <c r="L284" s="26">
        <v>67</v>
      </c>
      <c r="M284" s="26">
        <v>1</v>
      </c>
      <c r="N284" s="28">
        <v>16</v>
      </c>
      <c r="O284" s="14">
        <f>N284/G284</f>
        <v>0.88888888888888884</v>
      </c>
      <c r="P284" s="14">
        <f>N284-G284</f>
        <v>-2</v>
      </c>
      <c r="Q284" s="17">
        <f>IF(F284&lt;2,IF(M284&lt;2,0,1),1)</f>
        <v>0</v>
      </c>
      <c r="R284" s="18">
        <f>K284-D284</f>
        <v>0</v>
      </c>
      <c r="S284" s="17">
        <f>IF(R284&gt;0.09,1,0)</f>
        <v>0</v>
      </c>
      <c r="T284" s="29">
        <v>0</v>
      </c>
      <c r="U284" s="29">
        <v>0</v>
      </c>
      <c r="V284" s="17">
        <f>SUM(J284,Q284,S284,T284,U284)</f>
        <v>1</v>
      </c>
      <c r="W284" s="17">
        <v>1</v>
      </c>
      <c r="X284" s="17">
        <v>1</v>
      </c>
      <c r="Y284" s="37">
        <v>0</v>
      </c>
    </row>
    <row r="285" spans="1:25" s="19" customFormat="1" x14ac:dyDescent="0.25">
      <c r="A285" s="26">
        <v>66</v>
      </c>
      <c r="B285" s="26">
        <v>151</v>
      </c>
      <c r="C285" s="26">
        <v>86</v>
      </c>
      <c r="D285" s="27">
        <v>1</v>
      </c>
      <c r="E285" s="26">
        <v>34</v>
      </c>
      <c r="F285" s="26">
        <v>5</v>
      </c>
      <c r="G285" s="27"/>
      <c r="H285" s="26">
        <v>87</v>
      </c>
      <c r="I285" s="14">
        <f>H285/A285</f>
        <v>1.3181818181818181</v>
      </c>
      <c r="J285" s="26">
        <v>0</v>
      </c>
      <c r="K285" s="27">
        <v>1</v>
      </c>
      <c r="L285" s="26">
        <v>77</v>
      </c>
      <c r="M285" s="26">
        <v>3</v>
      </c>
      <c r="N285" s="28"/>
      <c r="O285" s="14"/>
      <c r="P285" s="14"/>
      <c r="Q285" s="17">
        <f>IF(F285&lt;2,IF(M285&lt;2,0,1),1)</f>
        <v>1</v>
      </c>
      <c r="R285" s="18">
        <f>K285-D285</f>
        <v>0</v>
      </c>
      <c r="S285" s="17">
        <f>IF(R285&gt;0.09,1,0)</f>
        <v>0</v>
      </c>
      <c r="T285" s="29">
        <v>1</v>
      </c>
      <c r="U285" s="29">
        <v>0</v>
      </c>
      <c r="V285" s="17">
        <f>SUM(J285,Q285,S285,T285,U285)</f>
        <v>2</v>
      </c>
      <c r="W285" s="17">
        <v>2</v>
      </c>
      <c r="X285" s="17">
        <v>2</v>
      </c>
      <c r="Y285" s="37">
        <v>0</v>
      </c>
    </row>
    <row r="286" spans="1:25" s="19" customFormat="1" x14ac:dyDescent="0.25">
      <c r="A286" s="26">
        <v>53</v>
      </c>
      <c r="B286" s="26">
        <v>111</v>
      </c>
      <c r="C286" s="26">
        <v>68</v>
      </c>
      <c r="D286" s="27">
        <v>1</v>
      </c>
      <c r="E286" s="26">
        <v>15</v>
      </c>
      <c r="F286" s="26">
        <v>0</v>
      </c>
      <c r="G286" s="27">
        <v>15.7</v>
      </c>
      <c r="H286" s="26">
        <v>136</v>
      </c>
      <c r="I286" s="14">
        <f>H286/A286</f>
        <v>2.5660377358490565</v>
      </c>
      <c r="J286" s="26">
        <v>0</v>
      </c>
      <c r="K286" s="27">
        <v>1.06</v>
      </c>
      <c r="L286" s="26">
        <v>35</v>
      </c>
      <c r="M286" s="26">
        <v>1</v>
      </c>
      <c r="N286" s="28">
        <v>16.399999999999999</v>
      </c>
      <c r="O286" s="14">
        <f>N286/G286</f>
        <v>1.0445859872611465</v>
      </c>
      <c r="P286" s="14">
        <f>N286-G286</f>
        <v>0.69999999999999929</v>
      </c>
      <c r="Q286" s="17">
        <f>IF(F286&lt;2,IF(M286&lt;2,0,1),1)</f>
        <v>0</v>
      </c>
      <c r="R286" s="18">
        <f>K286-D286</f>
        <v>6.0000000000000053E-2</v>
      </c>
      <c r="S286" s="17">
        <f>IF(R286&gt;0.09,1,0)</f>
        <v>0</v>
      </c>
      <c r="T286" s="29">
        <v>1</v>
      </c>
      <c r="U286" s="29">
        <v>0</v>
      </c>
      <c r="V286" s="17">
        <f>SUM(J286,Q286,S286,T286,U286)</f>
        <v>1</v>
      </c>
      <c r="W286" s="17">
        <v>2</v>
      </c>
      <c r="X286" s="17">
        <v>3</v>
      </c>
      <c r="Y286" s="37">
        <v>0</v>
      </c>
    </row>
    <row r="287" spans="1:25" s="19" customFormat="1" x14ac:dyDescent="0.25">
      <c r="A287" s="26">
        <v>76</v>
      </c>
      <c r="B287" s="26">
        <v>107</v>
      </c>
      <c r="C287" s="26">
        <v>84</v>
      </c>
      <c r="D287" s="27">
        <v>1.1200000000000001</v>
      </c>
      <c r="E287" s="26">
        <v>23</v>
      </c>
      <c r="F287" s="26">
        <v>3</v>
      </c>
      <c r="G287" s="27">
        <v>14.8</v>
      </c>
      <c r="H287" s="26">
        <v>127</v>
      </c>
      <c r="I287" s="14">
        <f>H287/A287</f>
        <v>1.6710526315789473</v>
      </c>
      <c r="J287" s="26">
        <v>1</v>
      </c>
      <c r="K287" s="27">
        <v>1</v>
      </c>
      <c r="L287" s="26">
        <v>43</v>
      </c>
      <c r="M287" s="26">
        <v>2</v>
      </c>
      <c r="N287" s="28"/>
      <c r="O287" s="14"/>
      <c r="P287" s="14"/>
      <c r="Q287" s="17">
        <f>IF(F287&lt;2,IF(M287&lt;2,0,1),1)</f>
        <v>1</v>
      </c>
      <c r="R287" s="18">
        <f>K287-D287</f>
        <v>-0.12000000000000011</v>
      </c>
      <c r="S287" s="17">
        <v>1</v>
      </c>
      <c r="T287" s="29">
        <v>0</v>
      </c>
      <c r="U287" s="29">
        <v>1</v>
      </c>
      <c r="V287" s="17">
        <f>SUM(J287,Q287,S287,T287,U287)</f>
        <v>4</v>
      </c>
      <c r="W287" s="17">
        <v>5</v>
      </c>
      <c r="X287" s="17">
        <v>6</v>
      </c>
      <c r="Y287" s="37">
        <v>0</v>
      </c>
    </row>
    <row r="288" spans="1:25" s="19" customFormat="1" ht="12.75" x14ac:dyDescent="0.2">
      <c r="A288" s="26">
        <v>67</v>
      </c>
      <c r="B288" s="26">
        <v>103</v>
      </c>
      <c r="C288" s="26">
        <v>72</v>
      </c>
      <c r="D288" s="27">
        <v>1</v>
      </c>
      <c r="E288" s="26">
        <v>13</v>
      </c>
      <c r="F288" s="26">
        <v>0</v>
      </c>
      <c r="G288" s="27"/>
      <c r="H288" s="26">
        <v>101</v>
      </c>
      <c r="I288" s="14">
        <f>H288/A288</f>
        <v>1.5074626865671641</v>
      </c>
      <c r="J288" s="26">
        <v>1</v>
      </c>
      <c r="K288" s="27">
        <v>1.1200000000000001</v>
      </c>
      <c r="L288" s="26">
        <v>38</v>
      </c>
      <c r="M288" s="26">
        <v>0</v>
      </c>
      <c r="N288" s="28"/>
      <c r="O288" s="14"/>
      <c r="P288" s="14"/>
      <c r="Q288" s="17">
        <f>IF(F288&lt;2,IF(M288&lt;2,0,1),1)</f>
        <v>0</v>
      </c>
      <c r="R288" s="18">
        <f>K288-D288</f>
        <v>0.12000000000000011</v>
      </c>
      <c r="S288" s="17">
        <f>IF(R288&gt;0.09,1,0)</f>
        <v>1</v>
      </c>
      <c r="T288" s="29">
        <v>0</v>
      </c>
      <c r="U288" s="29">
        <v>0</v>
      </c>
      <c r="V288" s="17">
        <f>SUM(J288,Q288,S288,T288,U288)</f>
        <v>2</v>
      </c>
      <c r="W288" s="17">
        <v>3</v>
      </c>
      <c r="X288" s="17">
        <v>3</v>
      </c>
      <c r="Y288" s="19">
        <v>0</v>
      </c>
    </row>
    <row r="289" spans="1:25" s="19" customFormat="1" ht="12.75" x14ac:dyDescent="0.2">
      <c r="A289" s="26">
        <v>57</v>
      </c>
      <c r="B289" s="26">
        <v>127</v>
      </c>
      <c r="C289" s="26">
        <v>75</v>
      </c>
      <c r="D289" s="27">
        <v>1.06</v>
      </c>
      <c r="E289" s="26">
        <v>21</v>
      </c>
      <c r="F289" s="26">
        <v>3</v>
      </c>
      <c r="G289" s="27">
        <v>19.3</v>
      </c>
      <c r="H289" s="26">
        <v>136</v>
      </c>
      <c r="I289" s="14">
        <f>H289/A289</f>
        <v>2.3859649122807016</v>
      </c>
      <c r="J289" s="26">
        <v>0</v>
      </c>
      <c r="K289" s="27">
        <v>1.31</v>
      </c>
      <c r="L289" s="26">
        <v>37</v>
      </c>
      <c r="M289" s="26">
        <v>5</v>
      </c>
      <c r="N289" s="28">
        <v>11.5</v>
      </c>
      <c r="O289" s="14">
        <f>N289/G289</f>
        <v>0.59585492227979275</v>
      </c>
      <c r="P289" s="14">
        <f>N289-G289</f>
        <v>-7.8000000000000007</v>
      </c>
      <c r="Q289" s="17">
        <f>IF(F289&lt;2,IF(M289&lt;2,0,1),1)</f>
        <v>1</v>
      </c>
      <c r="R289" s="18">
        <f>K289-D289</f>
        <v>0.25</v>
      </c>
      <c r="S289" s="17">
        <f>IF(R289&gt;0.09,1,0)</f>
        <v>1</v>
      </c>
      <c r="T289" s="29">
        <v>1</v>
      </c>
      <c r="U289" s="29">
        <v>1</v>
      </c>
      <c r="V289" s="17">
        <f>SUM(J289,Q289,S289,T289,U289)</f>
        <v>4</v>
      </c>
      <c r="W289" s="17">
        <v>5</v>
      </c>
      <c r="X289" s="17">
        <v>5</v>
      </c>
    </row>
    <row r="290" spans="1:25" s="19" customFormat="1" ht="12.75" x14ac:dyDescent="0.2">
      <c r="A290" s="26">
        <v>71</v>
      </c>
      <c r="B290" s="26">
        <v>135</v>
      </c>
      <c r="C290" s="26">
        <v>74</v>
      </c>
      <c r="D290" s="27">
        <v>1</v>
      </c>
      <c r="E290" s="26">
        <v>21</v>
      </c>
      <c r="F290" s="26">
        <v>0</v>
      </c>
      <c r="G290" s="27">
        <v>14.4</v>
      </c>
      <c r="H290" s="26">
        <v>111</v>
      </c>
      <c r="I290" s="14">
        <f>H290/A290</f>
        <v>1.5633802816901408</v>
      </c>
      <c r="J290" s="26">
        <v>1</v>
      </c>
      <c r="K290" s="27">
        <v>1</v>
      </c>
      <c r="L290" s="26">
        <v>33</v>
      </c>
      <c r="M290" s="26">
        <v>0</v>
      </c>
      <c r="N290" s="28">
        <v>20.9</v>
      </c>
      <c r="O290" s="14">
        <f>N290/G290</f>
        <v>1.4513888888888888</v>
      </c>
      <c r="P290" s="14">
        <f>N290-G290</f>
        <v>6.4999999999999982</v>
      </c>
      <c r="Q290" s="17">
        <f>IF(F290&lt;2,IF(M290&lt;2,0,1),1)</f>
        <v>0</v>
      </c>
      <c r="R290" s="18">
        <f>K290-D290</f>
        <v>0</v>
      </c>
      <c r="S290" s="17">
        <f>IF(R290&gt;0.09,1,0)</f>
        <v>0</v>
      </c>
      <c r="T290" s="29">
        <v>0</v>
      </c>
      <c r="U290" s="29">
        <v>1</v>
      </c>
      <c r="V290" s="17">
        <f>SUM(J290,Q290,S290,T290,U290)</f>
        <v>2</v>
      </c>
      <c r="W290" s="17">
        <v>3</v>
      </c>
      <c r="X290" s="17">
        <v>3</v>
      </c>
      <c r="Y290" s="12">
        <v>0</v>
      </c>
    </row>
    <row r="291" spans="1:25" s="19" customFormat="1" ht="12.75" x14ac:dyDescent="0.2">
      <c r="A291" s="26">
        <v>71</v>
      </c>
      <c r="B291" s="26">
        <v>126</v>
      </c>
      <c r="C291" s="26">
        <v>94</v>
      </c>
      <c r="D291" s="27">
        <v>1</v>
      </c>
      <c r="E291" s="26">
        <v>15</v>
      </c>
      <c r="F291" s="26">
        <v>0</v>
      </c>
      <c r="G291" s="27">
        <v>11.7</v>
      </c>
      <c r="H291" s="26">
        <v>136</v>
      </c>
      <c r="I291" s="14">
        <f>H291/A291</f>
        <v>1.9154929577464788</v>
      </c>
      <c r="J291" s="26">
        <v>0</v>
      </c>
      <c r="K291" s="27">
        <v>1</v>
      </c>
      <c r="L291" s="26">
        <v>42</v>
      </c>
      <c r="M291" s="26">
        <v>5</v>
      </c>
      <c r="N291" s="28">
        <v>16.8</v>
      </c>
      <c r="O291" s="14">
        <f>N291/G291</f>
        <v>1.4358974358974361</v>
      </c>
      <c r="P291" s="14">
        <f>N291-G291</f>
        <v>5.1000000000000014</v>
      </c>
      <c r="Q291" s="17">
        <f>IF(F291&lt;2,IF(M291&lt;2,0,1),1)</f>
        <v>1</v>
      </c>
      <c r="R291" s="18">
        <f>K291-D291</f>
        <v>0</v>
      </c>
      <c r="S291" s="17">
        <f>IF(R291&gt;0.09,1,0)</f>
        <v>0</v>
      </c>
      <c r="T291" s="29">
        <v>1</v>
      </c>
      <c r="U291" s="29">
        <v>0</v>
      </c>
      <c r="V291" s="17">
        <f>SUM(J291,Q291,S291,T291,U291)</f>
        <v>2</v>
      </c>
      <c r="W291" s="17">
        <v>3</v>
      </c>
      <c r="X291" s="17">
        <v>3</v>
      </c>
      <c r="Y291" s="12">
        <v>0</v>
      </c>
    </row>
    <row r="292" spans="1:25" s="19" customFormat="1" ht="12.75" x14ac:dyDescent="0.2">
      <c r="A292" s="26">
        <v>66</v>
      </c>
      <c r="B292" s="26">
        <v>153</v>
      </c>
      <c r="C292" s="26">
        <v>78</v>
      </c>
      <c r="D292" s="27">
        <v>1</v>
      </c>
      <c r="E292" s="26">
        <v>30</v>
      </c>
      <c r="F292" s="26">
        <v>1</v>
      </c>
      <c r="G292" s="27">
        <v>18.2</v>
      </c>
      <c r="H292" s="26">
        <v>83</v>
      </c>
      <c r="I292" s="14">
        <f>H292/A292</f>
        <v>1.2575757575757576</v>
      </c>
      <c r="J292" s="26">
        <v>0</v>
      </c>
      <c r="K292" s="27">
        <v>1</v>
      </c>
      <c r="L292" s="26">
        <v>60</v>
      </c>
      <c r="M292" s="26">
        <v>0</v>
      </c>
      <c r="N292" s="28">
        <v>18.8</v>
      </c>
      <c r="O292" s="14">
        <f>N292/G292</f>
        <v>1.0329670329670331</v>
      </c>
      <c r="P292" s="14">
        <f>N292-G292</f>
        <v>0.60000000000000142</v>
      </c>
      <c r="Q292" s="17">
        <f>IF(F292&lt;2,IF(M292&lt;2,0,1),1)</f>
        <v>0</v>
      </c>
      <c r="R292" s="18">
        <f>K292-D292</f>
        <v>0</v>
      </c>
      <c r="S292" s="17">
        <f>IF(R292&gt;0.09,1,0)</f>
        <v>0</v>
      </c>
      <c r="T292" s="29">
        <v>1</v>
      </c>
      <c r="U292" s="29">
        <v>1</v>
      </c>
      <c r="V292" s="17">
        <f>SUM(J292,Q292,S292,T292,U292)</f>
        <v>2</v>
      </c>
      <c r="W292" s="17">
        <v>2</v>
      </c>
      <c r="X292" s="17">
        <v>2</v>
      </c>
      <c r="Y292" s="12">
        <v>0</v>
      </c>
    </row>
    <row r="293" spans="1:25" s="19" customFormat="1" ht="12.75" x14ac:dyDescent="0.2">
      <c r="A293" s="26">
        <v>64</v>
      </c>
      <c r="B293" s="26">
        <v>109</v>
      </c>
      <c r="C293" s="26">
        <v>65</v>
      </c>
      <c r="D293" s="27">
        <v>1</v>
      </c>
      <c r="E293" s="26">
        <v>23</v>
      </c>
      <c r="F293" s="26">
        <v>4</v>
      </c>
      <c r="G293" s="27">
        <v>17.100000000000001</v>
      </c>
      <c r="H293" s="26">
        <v>136</v>
      </c>
      <c r="I293" s="14">
        <f>H293/A293</f>
        <v>2.125</v>
      </c>
      <c r="J293" s="26">
        <v>0</v>
      </c>
      <c r="K293" s="27">
        <v>1</v>
      </c>
      <c r="L293" s="26">
        <v>56</v>
      </c>
      <c r="M293" s="26">
        <v>6</v>
      </c>
      <c r="N293" s="28">
        <v>18</v>
      </c>
      <c r="O293" s="14">
        <f>N293/G293</f>
        <v>1.0526315789473684</v>
      </c>
      <c r="P293" s="14">
        <f>N293-G293</f>
        <v>0.89999999999999858</v>
      </c>
      <c r="Q293" s="17">
        <f>IF(F293&lt;2,IF(M293&lt;2,0,1),1)</f>
        <v>1</v>
      </c>
      <c r="R293" s="18">
        <f>K293-D293</f>
        <v>0</v>
      </c>
      <c r="S293" s="17">
        <f>IF(R293&gt;0.09,1,0)</f>
        <v>0</v>
      </c>
      <c r="T293" s="29">
        <v>1</v>
      </c>
      <c r="U293" s="29">
        <v>0</v>
      </c>
      <c r="V293" s="17">
        <f>SUM(J293,Q293,S293,T293,U293)</f>
        <v>2</v>
      </c>
      <c r="W293" s="17">
        <v>2</v>
      </c>
      <c r="X293" s="17">
        <v>3</v>
      </c>
      <c r="Y293" s="12">
        <v>0</v>
      </c>
    </row>
    <row r="294" spans="1:25" s="19" customFormat="1" ht="12.75" x14ac:dyDescent="0.2">
      <c r="A294" s="26">
        <v>54</v>
      </c>
      <c r="B294" s="26">
        <v>101</v>
      </c>
      <c r="C294" s="26">
        <v>70</v>
      </c>
      <c r="D294" s="27">
        <v>1</v>
      </c>
      <c r="E294" s="26">
        <v>19</v>
      </c>
      <c r="F294" s="26">
        <v>1</v>
      </c>
      <c r="G294" s="27">
        <v>18.3</v>
      </c>
      <c r="H294" s="26">
        <v>109</v>
      </c>
      <c r="I294" s="14">
        <f>H294/A294</f>
        <v>2.0185185185185186</v>
      </c>
      <c r="J294" s="26">
        <v>0</v>
      </c>
      <c r="K294" s="27">
        <v>1</v>
      </c>
      <c r="L294" s="26">
        <v>45</v>
      </c>
      <c r="M294" s="26">
        <v>1</v>
      </c>
      <c r="N294" s="28">
        <v>20.7</v>
      </c>
      <c r="O294" s="14">
        <f>N294/G294</f>
        <v>1.1311475409836065</v>
      </c>
      <c r="P294" s="14">
        <f>N294-G294</f>
        <v>2.3999999999999986</v>
      </c>
      <c r="Q294" s="17">
        <f>IF(F294&lt;2,IF(M294&lt;2,0,1),1)</f>
        <v>0</v>
      </c>
      <c r="R294" s="18">
        <f>K294-D294</f>
        <v>0</v>
      </c>
      <c r="S294" s="17">
        <f>IF(R294&gt;0.09,1,0)</f>
        <v>0</v>
      </c>
      <c r="T294" s="29">
        <v>0</v>
      </c>
      <c r="U294" s="29">
        <v>0</v>
      </c>
      <c r="V294" s="17">
        <f>SUM(J294,Q294,S294,T294,U294)</f>
        <v>0</v>
      </c>
      <c r="W294" s="17">
        <v>0</v>
      </c>
      <c r="X294" s="17">
        <v>0</v>
      </c>
      <c r="Y294" s="12">
        <v>0</v>
      </c>
    </row>
    <row r="295" spans="1:25" s="19" customFormat="1" ht="12.75" x14ac:dyDescent="0.2">
      <c r="A295" s="26">
        <v>48</v>
      </c>
      <c r="B295" s="26">
        <v>123</v>
      </c>
      <c r="C295" s="26">
        <v>79</v>
      </c>
      <c r="D295" s="27">
        <v>1</v>
      </c>
      <c r="E295" s="26">
        <v>14</v>
      </c>
      <c r="F295" s="26">
        <v>2</v>
      </c>
      <c r="G295" s="27">
        <v>16</v>
      </c>
      <c r="H295" s="26">
        <v>84</v>
      </c>
      <c r="I295" s="14">
        <f>H295/A295</f>
        <v>1.75</v>
      </c>
      <c r="J295" s="26">
        <v>1</v>
      </c>
      <c r="K295" s="27">
        <v>1.19</v>
      </c>
      <c r="L295" s="26">
        <v>27</v>
      </c>
      <c r="M295" s="26">
        <v>7</v>
      </c>
      <c r="N295" s="28">
        <v>22.2</v>
      </c>
      <c r="O295" s="14">
        <f>N295/G295</f>
        <v>1.3875</v>
      </c>
      <c r="P295" s="14">
        <f>N295-G295</f>
        <v>6.1999999999999993</v>
      </c>
      <c r="Q295" s="17">
        <f>IF(F295&lt;2,IF(M295&lt;2,0,1),1)</f>
        <v>1</v>
      </c>
      <c r="R295" s="18">
        <f>K295-D295</f>
        <v>0.18999999999999995</v>
      </c>
      <c r="S295" s="17">
        <f>IF(R295&gt;0.09,1,0)</f>
        <v>1</v>
      </c>
      <c r="T295" s="29">
        <v>1</v>
      </c>
      <c r="U295" s="29">
        <v>1</v>
      </c>
      <c r="V295" s="17">
        <f>SUM(J295,Q295,S295,T295,U295)</f>
        <v>5</v>
      </c>
      <c r="W295" s="17">
        <v>5</v>
      </c>
      <c r="X295" s="17">
        <v>5</v>
      </c>
      <c r="Y295" s="12">
        <v>1</v>
      </c>
    </row>
    <row r="296" spans="1:25" s="19" customFormat="1" ht="12.75" x14ac:dyDescent="0.2">
      <c r="A296" s="26">
        <v>63</v>
      </c>
      <c r="B296" s="26">
        <v>113</v>
      </c>
      <c r="C296" s="26">
        <v>72</v>
      </c>
      <c r="D296" s="27">
        <v>1</v>
      </c>
      <c r="E296" s="26">
        <v>24</v>
      </c>
      <c r="F296" s="26">
        <v>0</v>
      </c>
      <c r="G296" s="27">
        <v>15.7</v>
      </c>
      <c r="H296" s="26">
        <v>129</v>
      </c>
      <c r="I296" s="14">
        <f>H296/A296</f>
        <v>2.0476190476190474</v>
      </c>
      <c r="J296" s="26">
        <v>0</v>
      </c>
      <c r="K296" s="27">
        <v>1</v>
      </c>
      <c r="L296" s="26">
        <v>64</v>
      </c>
      <c r="M296" s="26">
        <v>0</v>
      </c>
      <c r="N296" s="28">
        <v>20.7</v>
      </c>
      <c r="O296" s="14">
        <f>N296/G296</f>
        <v>1.3184713375796178</v>
      </c>
      <c r="P296" s="14">
        <f>N296-G296</f>
        <v>5</v>
      </c>
      <c r="Q296" s="17">
        <f>IF(F296&lt;2,IF(M296&lt;2,0,1),1)</f>
        <v>0</v>
      </c>
      <c r="R296" s="18">
        <f>K296-D296</f>
        <v>0</v>
      </c>
      <c r="S296" s="17">
        <f>IF(R296&gt;0.09,1,0)</f>
        <v>0</v>
      </c>
      <c r="T296" s="29">
        <v>1</v>
      </c>
      <c r="U296" s="29">
        <v>0</v>
      </c>
      <c r="V296" s="17">
        <f>SUM(J296,Q296,S296,T296,U296)</f>
        <v>1</v>
      </c>
      <c r="W296" s="17">
        <v>2</v>
      </c>
      <c r="X296" s="17">
        <v>3</v>
      </c>
      <c r="Y296" s="12">
        <v>0</v>
      </c>
    </row>
    <row r="297" spans="1:25" s="19" customFormat="1" ht="12.75" x14ac:dyDescent="0.2">
      <c r="A297" s="26">
        <v>62</v>
      </c>
      <c r="B297" s="26">
        <v>125</v>
      </c>
      <c r="C297" s="26">
        <v>86</v>
      </c>
      <c r="D297" s="27">
        <v>1</v>
      </c>
      <c r="E297" s="26">
        <v>21</v>
      </c>
      <c r="F297" s="26">
        <v>1</v>
      </c>
      <c r="G297" s="27">
        <v>11.5</v>
      </c>
      <c r="H297" s="26">
        <v>126</v>
      </c>
      <c r="I297" s="14">
        <f>H297/A297</f>
        <v>2.032258064516129</v>
      </c>
      <c r="J297" s="26">
        <v>0</v>
      </c>
      <c r="K297" s="27">
        <v>1.1200000000000001</v>
      </c>
      <c r="L297" s="26">
        <v>48</v>
      </c>
      <c r="M297" s="26">
        <v>4</v>
      </c>
      <c r="N297" s="28">
        <v>16.899999999999999</v>
      </c>
      <c r="O297" s="14">
        <f>N297/G297</f>
        <v>1.4695652173913043</v>
      </c>
      <c r="P297" s="14">
        <f>N297-G297</f>
        <v>5.3999999999999986</v>
      </c>
      <c r="Q297" s="17">
        <f>IF(F297&lt;2,IF(M297&lt;2,0,1),1)</f>
        <v>1</v>
      </c>
      <c r="R297" s="18">
        <f>K297-D297</f>
        <v>0.12000000000000011</v>
      </c>
      <c r="S297" s="17">
        <f>IF(R297&gt;0.09,1,0)</f>
        <v>1</v>
      </c>
      <c r="T297" s="29">
        <v>0</v>
      </c>
      <c r="U297" s="29">
        <v>0</v>
      </c>
      <c r="V297" s="17">
        <f>SUM(J297,Q297,S297,T297,U297)</f>
        <v>2</v>
      </c>
      <c r="W297" s="17">
        <v>3</v>
      </c>
      <c r="X297" s="17">
        <v>3</v>
      </c>
      <c r="Y297" s="12">
        <v>1</v>
      </c>
    </row>
    <row r="298" spans="1:25" s="19" customFormat="1" ht="12.75" x14ac:dyDescent="0.2">
      <c r="A298" s="26">
        <v>67</v>
      </c>
      <c r="B298" s="26">
        <v>118</v>
      </c>
      <c r="C298" s="26">
        <v>79</v>
      </c>
      <c r="D298" s="27">
        <v>1</v>
      </c>
      <c r="E298" s="26">
        <v>25</v>
      </c>
      <c r="F298" s="26">
        <v>0</v>
      </c>
      <c r="G298" s="27">
        <v>16.100000000000001</v>
      </c>
      <c r="H298" s="26">
        <v>110</v>
      </c>
      <c r="I298" s="14">
        <f>H298/A298</f>
        <v>1.6417910447761195</v>
      </c>
      <c r="J298" s="26">
        <v>1</v>
      </c>
      <c r="K298" s="27">
        <v>1.19</v>
      </c>
      <c r="L298" s="26">
        <v>35</v>
      </c>
      <c r="M298" s="26">
        <v>1</v>
      </c>
      <c r="N298" s="28">
        <v>16.899999999999999</v>
      </c>
      <c r="O298" s="14">
        <f>N298/G298</f>
        <v>1.0496894409937887</v>
      </c>
      <c r="P298" s="14">
        <f>N298-G298</f>
        <v>0.79999999999999716</v>
      </c>
      <c r="Q298" s="17">
        <f>IF(F298&lt;2,IF(M298&lt;2,0,1),1)</f>
        <v>0</v>
      </c>
      <c r="R298" s="18">
        <f>K298-D298</f>
        <v>0.18999999999999995</v>
      </c>
      <c r="S298" s="17">
        <f>IF(R298&gt;0.09,1,0)</f>
        <v>1</v>
      </c>
      <c r="T298" s="29">
        <v>1</v>
      </c>
      <c r="U298" s="29">
        <v>1</v>
      </c>
      <c r="V298" s="17">
        <f>SUM(J298,Q298,S298,T298,U298)</f>
        <v>4</v>
      </c>
      <c r="W298" s="17">
        <v>5</v>
      </c>
      <c r="X298" s="17">
        <v>5</v>
      </c>
      <c r="Y298" s="12">
        <v>1</v>
      </c>
    </row>
    <row r="299" spans="1:25" s="19" customFormat="1" ht="12.75" x14ac:dyDescent="0.2">
      <c r="A299" s="26">
        <v>68</v>
      </c>
      <c r="B299" s="26">
        <v>148</v>
      </c>
      <c r="C299" s="26">
        <v>82</v>
      </c>
      <c r="D299" s="27">
        <v>1</v>
      </c>
      <c r="E299" s="26">
        <v>21</v>
      </c>
      <c r="F299" s="26">
        <v>5</v>
      </c>
      <c r="G299" s="27"/>
      <c r="H299" s="26">
        <v>98</v>
      </c>
      <c r="I299" s="14">
        <f>H299/A299</f>
        <v>1.4411764705882353</v>
      </c>
      <c r="J299" s="26">
        <v>1</v>
      </c>
      <c r="K299" s="27">
        <v>1</v>
      </c>
      <c r="L299" s="26">
        <v>34</v>
      </c>
      <c r="M299" s="26">
        <v>6</v>
      </c>
      <c r="N299" s="28"/>
      <c r="O299" s="14"/>
      <c r="P299" s="14"/>
      <c r="Q299" s="17">
        <f>IF(F299&lt;2,IF(M299&lt;2,0,1),1)</f>
        <v>1</v>
      </c>
      <c r="R299" s="18">
        <f>K299-D299</f>
        <v>0</v>
      </c>
      <c r="S299" s="17">
        <f>IF(R299&gt;0.09,1,0)</f>
        <v>0</v>
      </c>
      <c r="T299" s="29">
        <v>1</v>
      </c>
      <c r="U299" s="29">
        <v>1</v>
      </c>
      <c r="V299" s="17">
        <f>SUM(J299,Q299,S299,T299,U299)</f>
        <v>4</v>
      </c>
      <c r="W299" s="17">
        <v>5</v>
      </c>
      <c r="X299" s="17">
        <v>5</v>
      </c>
      <c r="Y299" s="12">
        <v>0</v>
      </c>
    </row>
    <row r="300" spans="1:25" s="19" customFormat="1" ht="12.75" x14ac:dyDescent="0.2">
      <c r="A300" s="26">
        <v>72</v>
      </c>
      <c r="B300" s="26">
        <v>102</v>
      </c>
      <c r="C300" s="26">
        <v>71</v>
      </c>
      <c r="D300" s="27">
        <v>1</v>
      </c>
      <c r="E300" s="26">
        <v>17</v>
      </c>
      <c r="F300" s="26">
        <v>1</v>
      </c>
      <c r="G300" s="27">
        <v>18.399999999999999</v>
      </c>
      <c r="H300" s="26">
        <v>142</v>
      </c>
      <c r="I300" s="14">
        <f>H300/A300</f>
        <v>1.9722222222222223</v>
      </c>
      <c r="J300" s="26">
        <v>0</v>
      </c>
      <c r="K300" s="27">
        <v>1</v>
      </c>
      <c r="L300" s="26">
        <v>41</v>
      </c>
      <c r="M300" s="26">
        <v>0</v>
      </c>
      <c r="N300" s="28">
        <v>21.7</v>
      </c>
      <c r="O300" s="14">
        <f>N300/G300</f>
        <v>1.1793478260869565</v>
      </c>
      <c r="P300" s="14">
        <f>N300-G300</f>
        <v>3.3000000000000007</v>
      </c>
      <c r="Q300" s="17">
        <f>IF(F300&lt;2,IF(M300&lt;2,0,1),1)</f>
        <v>0</v>
      </c>
      <c r="R300" s="18">
        <f>K300-D300</f>
        <v>0</v>
      </c>
      <c r="S300" s="17">
        <f>IF(R300&gt;0.09,1,0)</f>
        <v>0</v>
      </c>
      <c r="T300" s="29">
        <v>1</v>
      </c>
      <c r="U300" s="29">
        <v>0</v>
      </c>
      <c r="V300" s="17">
        <f>SUM(J300,Q300,S300,T300,U300)</f>
        <v>1</v>
      </c>
      <c r="W300" s="17">
        <v>2</v>
      </c>
      <c r="X300" s="17">
        <v>3</v>
      </c>
      <c r="Y300" s="12">
        <v>0</v>
      </c>
    </row>
    <row r="301" spans="1:25" s="19" customFormat="1" ht="12.75" x14ac:dyDescent="0.2">
      <c r="A301" s="26">
        <v>67</v>
      </c>
      <c r="B301" s="26">
        <v>141</v>
      </c>
      <c r="C301" s="26">
        <v>102</v>
      </c>
      <c r="D301" s="27">
        <v>1</v>
      </c>
      <c r="E301" s="26">
        <v>23</v>
      </c>
      <c r="F301" s="26">
        <v>1</v>
      </c>
      <c r="G301" s="27"/>
      <c r="H301" s="26">
        <v>110</v>
      </c>
      <c r="I301" s="14">
        <f>H301/A301</f>
        <v>1.6417910447761195</v>
      </c>
      <c r="J301" s="26">
        <v>1</v>
      </c>
      <c r="K301" s="27">
        <v>1.19</v>
      </c>
      <c r="L301" s="26">
        <v>47</v>
      </c>
      <c r="M301" s="26"/>
      <c r="N301" s="28"/>
      <c r="O301" s="14"/>
      <c r="P301" s="14"/>
      <c r="Q301" s="17"/>
      <c r="R301" s="18">
        <f>K301-D301</f>
        <v>0.18999999999999995</v>
      </c>
      <c r="S301" s="17">
        <f>IF(R301&gt;0.09,1,0)</f>
        <v>1</v>
      </c>
      <c r="T301" s="29">
        <v>1</v>
      </c>
      <c r="U301" s="29">
        <v>0</v>
      </c>
      <c r="V301" s="17">
        <f>SUM(J301,Q301,S301,T301,U301)</f>
        <v>3</v>
      </c>
      <c r="W301" s="17">
        <v>4</v>
      </c>
      <c r="X301" s="17">
        <v>4</v>
      </c>
      <c r="Y301" s="12">
        <v>1</v>
      </c>
    </row>
    <row r="302" spans="1:25" s="19" customFormat="1" ht="12.75" x14ac:dyDescent="0.2">
      <c r="A302" s="26">
        <v>77</v>
      </c>
      <c r="B302" s="26">
        <v>112</v>
      </c>
      <c r="C302" s="26">
        <v>85</v>
      </c>
      <c r="D302" s="27">
        <v>1</v>
      </c>
      <c r="E302" s="26"/>
      <c r="F302" s="26">
        <v>0</v>
      </c>
      <c r="G302" s="27">
        <v>14.4</v>
      </c>
      <c r="H302" s="26">
        <v>148</v>
      </c>
      <c r="I302" s="14">
        <f>H302/A302</f>
        <v>1.9220779220779221</v>
      </c>
      <c r="J302" s="26">
        <v>0</v>
      </c>
      <c r="K302" s="27">
        <v>1</v>
      </c>
      <c r="L302" s="26"/>
      <c r="M302" s="26">
        <v>1</v>
      </c>
      <c r="N302" s="28">
        <v>18.100000000000001</v>
      </c>
      <c r="O302" s="14">
        <f>N302/G302</f>
        <v>1.2569444444444444</v>
      </c>
      <c r="P302" s="14">
        <f>N302-G302</f>
        <v>3.7000000000000011</v>
      </c>
      <c r="Q302" s="17">
        <f>IF(F302&lt;2,IF(M302&lt;2,0,1),1)</f>
        <v>0</v>
      </c>
      <c r="R302" s="18">
        <f>K302-D302</f>
        <v>0</v>
      </c>
      <c r="S302" s="17">
        <f>IF(R302&gt;0.09,1,0)</f>
        <v>0</v>
      </c>
      <c r="T302" s="29">
        <v>1</v>
      </c>
      <c r="U302" s="29"/>
      <c r="V302" s="17">
        <f>SUM(J302,Q302,S302,T302,U302)</f>
        <v>1</v>
      </c>
      <c r="W302" s="17">
        <v>1</v>
      </c>
      <c r="X302" s="17">
        <v>1</v>
      </c>
      <c r="Y302" s="12">
        <v>0</v>
      </c>
    </row>
    <row r="303" spans="1:25" s="19" customFormat="1" ht="12.75" x14ac:dyDescent="0.2">
      <c r="A303" s="26">
        <v>70</v>
      </c>
      <c r="B303" s="26">
        <v>145</v>
      </c>
      <c r="C303" s="26">
        <v>89</v>
      </c>
      <c r="D303" s="27">
        <v>1.1200000000000001</v>
      </c>
      <c r="E303" s="26">
        <v>18</v>
      </c>
      <c r="F303" s="26">
        <v>5</v>
      </c>
      <c r="G303" s="27">
        <v>15.1</v>
      </c>
      <c r="H303" s="26">
        <v>104</v>
      </c>
      <c r="I303" s="14">
        <f>H303/A303</f>
        <v>1.4857142857142858</v>
      </c>
      <c r="J303" s="26">
        <v>1</v>
      </c>
      <c r="K303" s="27">
        <v>1.19</v>
      </c>
      <c r="L303" s="26">
        <v>40</v>
      </c>
      <c r="M303" s="26">
        <v>13</v>
      </c>
      <c r="N303" s="28">
        <v>13.8</v>
      </c>
      <c r="O303" s="14">
        <f>N303/G303</f>
        <v>0.91390728476821204</v>
      </c>
      <c r="P303" s="14">
        <f>N303-G303</f>
        <v>-1.2999999999999989</v>
      </c>
      <c r="Q303" s="17">
        <f>IF(F303&lt;2,IF(M303&lt;2,0,1),1)</f>
        <v>1</v>
      </c>
      <c r="R303" s="18">
        <f>K303-D303</f>
        <v>6.999999999999984E-2</v>
      </c>
      <c r="S303" s="17">
        <f>IF(R303&gt;0.09,1,0)</f>
        <v>0</v>
      </c>
      <c r="T303" s="29">
        <v>1</v>
      </c>
      <c r="U303" s="29">
        <v>0</v>
      </c>
      <c r="V303" s="17">
        <f>SUM(J303,Q303,S303,T303,U303)</f>
        <v>3</v>
      </c>
      <c r="W303" s="17">
        <v>3</v>
      </c>
      <c r="X303" s="17">
        <v>3</v>
      </c>
      <c r="Y303" s="12">
        <v>1</v>
      </c>
    </row>
    <row r="304" spans="1:25" s="19" customFormat="1" ht="12.75" x14ac:dyDescent="0.2">
      <c r="A304" s="26">
        <v>75</v>
      </c>
      <c r="B304" s="26">
        <v>157</v>
      </c>
      <c r="C304" s="26">
        <v>87</v>
      </c>
      <c r="D304" s="27">
        <v>1</v>
      </c>
      <c r="E304" s="26">
        <v>19</v>
      </c>
      <c r="F304" s="26">
        <v>3</v>
      </c>
      <c r="G304" s="27">
        <v>18.100000000000001</v>
      </c>
      <c r="H304" s="26">
        <v>117</v>
      </c>
      <c r="I304" s="14">
        <f>H304/A304</f>
        <v>1.56</v>
      </c>
      <c r="J304" s="26">
        <v>1</v>
      </c>
      <c r="K304" s="27">
        <v>1</v>
      </c>
      <c r="L304" s="26">
        <v>26</v>
      </c>
      <c r="M304" s="26">
        <v>4</v>
      </c>
      <c r="N304" s="28">
        <v>24.2</v>
      </c>
      <c r="O304" s="14">
        <f>N304/G304</f>
        <v>1.3370165745856353</v>
      </c>
      <c r="P304" s="14">
        <f>N304-G304</f>
        <v>6.0999999999999979</v>
      </c>
      <c r="Q304" s="17">
        <f>IF(F304&lt;2,IF(M304&lt;2,0,1),1)</f>
        <v>1</v>
      </c>
      <c r="R304" s="18">
        <f>K304-D304</f>
        <v>0</v>
      </c>
      <c r="S304" s="17">
        <f>IF(R304&gt;0.09,1,0)</f>
        <v>0</v>
      </c>
      <c r="T304" s="29">
        <v>1</v>
      </c>
      <c r="U304" s="29">
        <v>1</v>
      </c>
      <c r="V304" s="17">
        <f>SUM(J304,Q304,S304,T304,U304)</f>
        <v>4</v>
      </c>
      <c r="W304" s="17">
        <v>5</v>
      </c>
      <c r="X304" s="17">
        <v>5</v>
      </c>
      <c r="Y304" s="12">
        <v>0</v>
      </c>
    </row>
    <row r="305" spans="1:25" s="19" customFormat="1" ht="12.75" x14ac:dyDescent="0.2">
      <c r="A305" s="26">
        <v>71</v>
      </c>
      <c r="B305" s="26">
        <v>115</v>
      </c>
      <c r="C305" s="26">
        <v>72</v>
      </c>
      <c r="D305" s="27">
        <v>1</v>
      </c>
      <c r="E305" s="26">
        <v>13</v>
      </c>
      <c r="F305" s="26">
        <v>3</v>
      </c>
      <c r="G305" s="27">
        <v>14.6</v>
      </c>
      <c r="H305" s="26">
        <v>121</v>
      </c>
      <c r="I305" s="14">
        <f>H305/A305</f>
        <v>1.704225352112676</v>
      </c>
      <c r="J305" s="26">
        <v>1</v>
      </c>
      <c r="K305" s="27">
        <v>1</v>
      </c>
      <c r="L305" s="26">
        <v>36</v>
      </c>
      <c r="M305" s="26">
        <v>1</v>
      </c>
      <c r="N305" s="28"/>
      <c r="O305" s="14"/>
      <c r="P305" s="14"/>
      <c r="Q305" s="17">
        <f>IF(F305&lt;2,IF(M305&lt;2,0,1),1)</f>
        <v>1</v>
      </c>
      <c r="R305" s="18">
        <f>K305-D305</f>
        <v>0</v>
      </c>
      <c r="S305" s="17">
        <f>IF(R305&gt;0.09,1,0)</f>
        <v>0</v>
      </c>
      <c r="T305" s="29">
        <v>0</v>
      </c>
      <c r="U305" s="29">
        <v>0</v>
      </c>
      <c r="V305" s="17">
        <f>SUM(J305,Q305,S305,T305,U305)</f>
        <v>2</v>
      </c>
      <c r="W305" s="17">
        <v>2</v>
      </c>
      <c r="X305" s="17">
        <v>2</v>
      </c>
      <c r="Y305" s="12">
        <v>0</v>
      </c>
    </row>
    <row r="306" spans="1:25" s="19" customFormat="1" ht="12.75" x14ac:dyDescent="0.2">
      <c r="A306" s="26">
        <v>72</v>
      </c>
      <c r="B306" s="26">
        <v>143</v>
      </c>
      <c r="C306" s="26">
        <v>82</v>
      </c>
      <c r="D306" s="27">
        <v>1</v>
      </c>
      <c r="E306" s="26">
        <v>31</v>
      </c>
      <c r="F306" s="26">
        <v>2</v>
      </c>
      <c r="G306" s="27">
        <v>15.1</v>
      </c>
      <c r="H306" s="26">
        <v>104</v>
      </c>
      <c r="I306" s="14">
        <f>H306/A306</f>
        <v>1.4444444444444444</v>
      </c>
      <c r="J306" s="26">
        <v>0</v>
      </c>
      <c r="K306" s="27">
        <v>1</v>
      </c>
      <c r="L306" s="26">
        <v>70</v>
      </c>
      <c r="M306" s="26">
        <v>0</v>
      </c>
      <c r="N306" s="28">
        <v>18.100000000000001</v>
      </c>
      <c r="O306" s="14">
        <f>N306/G306</f>
        <v>1.1986754966887418</v>
      </c>
      <c r="P306" s="14">
        <f>N306-G306</f>
        <v>3.0000000000000018</v>
      </c>
      <c r="Q306" s="17">
        <f>IF(F306&lt;2,IF(M306&lt;2,0,1),1)</f>
        <v>1</v>
      </c>
      <c r="R306" s="18">
        <f>K306-D306</f>
        <v>0</v>
      </c>
      <c r="S306" s="17">
        <f>IF(R306&gt;0.09,1,0)</f>
        <v>0</v>
      </c>
      <c r="T306" s="29">
        <v>0</v>
      </c>
      <c r="U306" s="29">
        <v>0</v>
      </c>
      <c r="V306" s="17">
        <f>SUM(J306,Q306,S306,T306,U306)</f>
        <v>1</v>
      </c>
      <c r="W306" s="17">
        <v>2</v>
      </c>
      <c r="X306" s="17">
        <v>2</v>
      </c>
      <c r="Y306" s="12">
        <v>0</v>
      </c>
    </row>
    <row r="307" spans="1:25" s="19" customFormat="1" ht="12.75" x14ac:dyDescent="0.2">
      <c r="A307" s="26">
        <v>61</v>
      </c>
      <c r="B307" s="26">
        <v>134</v>
      </c>
      <c r="C307" s="26">
        <v>87</v>
      </c>
      <c r="D307" s="27">
        <v>1</v>
      </c>
      <c r="E307" s="26">
        <v>21</v>
      </c>
      <c r="F307" s="26">
        <v>0</v>
      </c>
      <c r="G307" s="27">
        <v>14.3</v>
      </c>
      <c r="H307" s="26">
        <v>121</v>
      </c>
      <c r="I307" s="14">
        <f>H307/A307</f>
        <v>1.9836065573770492</v>
      </c>
      <c r="J307" s="26">
        <v>0</v>
      </c>
      <c r="K307" s="27">
        <v>1.1200000000000001</v>
      </c>
      <c r="L307" s="26">
        <v>81</v>
      </c>
      <c r="M307" s="26">
        <v>1</v>
      </c>
      <c r="N307" s="28"/>
      <c r="O307" s="14"/>
      <c r="P307" s="14"/>
      <c r="Q307" s="17">
        <f>IF(F307&lt;2,IF(M307&lt;2,0,1),1)</f>
        <v>0</v>
      </c>
      <c r="R307" s="18">
        <f>K307-D307</f>
        <v>0.12000000000000011</v>
      </c>
      <c r="S307" s="17">
        <f>IF(R307&gt;0.09,1,0)</f>
        <v>1</v>
      </c>
      <c r="T307" s="29">
        <v>1</v>
      </c>
      <c r="U307" s="29">
        <v>0</v>
      </c>
      <c r="V307" s="17">
        <f>SUM(J307,Q307,S307,T307,U307)</f>
        <v>2</v>
      </c>
      <c r="W307" s="17">
        <v>3</v>
      </c>
      <c r="X307" s="17">
        <v>3</v>
      </c>
      <c r="Y307" s="12">
        <v>0</v>
      </c>
    </row>
    <row r="308" spans="1:25" s="19" customFormat="1" ht="12.75" x14ac:dyDescent="0.2">
      <c r="A308" s="26">
        <v>64</v>
      </c>
      <c r="B308" s="26">
        <v>135</v>
      </c>
      <c r="C308" s="26">
        <v>87</v>
      </c>
      <c r="D308" s="27">
        <v>1.1200000000000001</v>
      </c>
      <c r="E308" s="26">
        <v>21</v>
      </c>
      <c r="F308" s="26">
        <v>5</v>
      </c>
      <c r="G308" s="27">
        <v>12.7</v>
      </c>
      <c r="H308" s="26">
        <v>103</v>
      </c>
      <c r="I308" s="14">
        <f>H308/A308</f>
        <v>1.609375</v>
      </c>
      <c r="J308" s="26">
        <v>1</v>
      </c>
      <c r="K308" s="27">
        <v>1.31</v>
      </c>
      <c r="L308" s="26">
        <v>45</v>
      </c>
      <c r="M308" s="26">
        <v>4</v>
      </c>
      <c r="N308" s="28">
        <v>15</v>
      </c>
      <c r="O308" s="14">
        <f>N308/G308</f>
        <v>1.1811023622047245</v>
      </c>
      <c r="P308" s="14">
        <f>N308-G308</f>
        <v>2.3000000000000007</v>
      </c>
      <c r="Q308" s="17">
        <f>IF(F308&lt;2,IF(M308&lt;2,0,1),1)</f>
        <v>1</v>
      </c>
      <c r="R308" s="18">
        <f>K308-D308</f>
        <v>0.18999999999999995</v>
      </c>
      <c r="S308" s="17">
        <f>IF(R308&gt;0.09,1,0)</f>
        <v>1</v>
      </c>
      <c r="T308" s="29">
        <v>1</v>
      </c>
      <c r="U308" s="29">
        <v>0</v>
      </c>
      <c r="V308" s="17">
        <f>SUM(J308,Q308,S308,T308,U308)</f>
        <v>4</v>
      </c>
      <c r="W308" s="17">
        <v>5</v>
      </c>
      <c r="X308" s="17">
        <v>5</v>
      </c>
      <c r="Y308" s="12">
        <v>0</v>
      </c>
    </row>
    <row r="309" spans="1:25" s="19" customFormat="1" ht="12.75" x14ac:dyDescent="0.2">
      <c r="A309" s="26">
        <v>60</v>
      </c>
      <c r="B309" s="26">
        <v>131</v>
      </c>
      <c r="C309" s="26">
        <v>93</v>
      </c>
      <c r="D309" s="27">
        <v>1</v>
      </c>
      <c r="E309" s="26">
        <v>23</v>
      </c>
      <c r="F309" s="26">
        <v>1</v>
      </c>
      <c r="G309" s="27">
        <v>19.399999999999999</v>
      </c>
      <c r="H309" s="26">
        <v>139</v>
      </c>
      <c r="I309" s="14">
        <f>H309/A309</f>
        <v>2.3166666666666669</v>
      </c>
      <c r="J309" s="26">
        <v>0</v>
      </c>
      <c r="K309" s="27">
        <v>1</v>
      </c>
      <c r="L309" s="26">
        <v>35</v>
      </c>
      <c r="M309" s="26">
        <v>1</v>
      </c>
      <c r="N309" s="28">
        <v>19.7</v>
      </c>
      <c r="O309" s="14">
        <f>N309/G309</f>
        <v>1.0154639175257731</v>
      </c>
      <c r="P309" s="14">
        <f>N309-G309</f>
        <v>0.30000000000000071</v>
      </c>
      <c r="Q309" s="17">
        <f>IF(F309&lt;2,IF(M309&lt;2,0,1),1)</f>
        <v>0</v>
      </c>
      <c r="R309" s="18">
        <f>K309-D309</f>
        <v>0</v>
      </c>
      <c r="S309" s="17">
        <f>IF(R309&gt;0.09,1,0)</f>
        <v>0</v>
      </c>
      <c r="T309" s="29">
        <v>0</v>
      </c>
      <c r="U309" s="29">
        <v>1</v>
      </c>
      <c r="V309" s="17">
        <f>SUM(J309,Q309,S309,T309,U309)</f>
        <v>1</v>
      </c>
      <c r="W309" s="17">
        <v>2</v>
      </c>
      <c r="X309" s="17">
        <v>2</v>
      </c>
      <c r="Y309" s="12">
        <v>0</v>
      </c>
    </row>
    <row r="310" spans="1:25" s="19" customFormat="1" ht="12.75" x14ac:dyDescent="0.2">
      <c r="A310" s="26">
        <v>75</v>
      </c>
      <c r="B310" s="26">
        <v>124</v>
      </c>
      <c r="C310" s="26">
        <v>72</v>
      </c>
      <c r="D310" s="27">
        <v>1</v>
      </c>
      <c r="E310" s="26">
        <v>17</v>
      </c>
      <c r="F310" s="26">
        <v>1</v>
      </c>
      <c r="G310" s="27"/>
      <c r="H310" s="26">
        <v>142</v>
      </c>
      <c r="I310" s="14">
        <f>H310/A310</f>
        <v>1.8933333333333333</v>
      </c>
      <c r="J310" s="26">
        <v>0</v>
      </c>
      <c r="K310" s="27">
        <v>1.06</v>
      </c>
      <c r="L310" s="26">
        <v>27</v>
      </c>
      <c r="M310" s="26">
        <v>0</v>
      </c>
      <c r="N310" s="28"/>
      <c r="O310" s="14"/>
      <c r="P310" s="14"/>
      <c r="Q310" s="17">
        <f>IF(F310&lt;2,IF(M310&lt;2,0,1),1)</f>
        <v>0</v>
      </c>
      <c r="R310" s="18">
        <f>K310-D310</f>
        <v>6.0000000000000053E-2</v>
      </c>
      <c r="S310" s="17">
        <f>IF(R310&gt;0.09,1,0)</f>
        <v>0</v>
      </c>
      <c r="T310" s="29">
        <v>1</v>
      </c>
      <c r="U310" s="29">
        <v>1</v>
      </c>
      <c r="V310" s="17">
        <f>SUM(J310,Q310,S310,T310,U310)</f>
        <v>2</v>
      </c>
      <c r="W310" s="17">
        <v>3</v>
      </c>
      <c r="X310" s="17">
        <v>4</v>
      </c>
      <c r="Y310" s="12">
        <v>0</v>
      </c>
    </row>
    <row r="311" spans="1:25" s="19" customFormat="1" ht="12.75" x14ac:dyDescent="0.2">
      <c r="A311" s="26">
        <v>64</v>
      </c>
      <c r="B311" s="26">
        <v>139</v>
      </c>
      <c r="C311" s="26">
        <v>103</v>
      </c>
      <c r="D311" s="27">
        <v>1</v>
      </c>
      <c r="E311" s="26">
        <v>21</v>
      </c>
      <c r="F311" s="26">
        <v>0</v>
      </c>
      <c r="G311" s="27"/>
      <c r="H311" s="26">
        <v>127</v>
      </c>
      <c r="I311" s="14">
        <f>H311/A311</f>
        <v>1.984375</v>
      </c>
      <c r="J311" s="26">
        <v>0</v>
      </c>
      <c r="K311" s="27">
        <v>1.19</v>
      </c>
      <c r="L311" s="26">
        <v>34</v>
      </c>
      <c r="M311" s="26">
        <v>3</v>
      </c>
      <c r="N311" s="28"/>
      <c r="O311" s="14"/>
      <c r="P311" s="14"/>
      <c r="Q311" s="17">
        <f>IF(F311&lt;2,IF(M311&lt;2,0,1),1)</f>
        <v>1</v>
      </c>
      <c r="R311" s="18">
        <f>K311-D311</f>
        <v>0.18999999999999995</v>
      </c>
      <c r="S311" s="17">
        <f>IF(R311&gt;0.09,1,0)</f>
        <v>1</v>
      </c>
      <c r="T311" s="29">
        <v>0</v>
      </c>
      <c r="U311" s="29">
        <v>1</v>
      </c>
      <c r="V311" s="17">
        <f>SUM(J311,Q311,S311,T311,U311)</f>
        <v>3</v>
      </c>
      <c r="W311" s="17">
        <v>4</v>
      </c>
      <c r="X311" s="17">
        <v>5</v>
      </c>
      <c r="Y311" s="12">
        <v>1</v>
      </c>
    </row>
    <row r="312" spans="1:25" s="19" customFormat="1" ht="12.75" x14ac:dyDescent="0.2">
      <c r="A312" s="26">
        <v>83</v>
      </c>
      <c r="B312" s="26">
        <v>127</v>
      </c>
      <c r="C312" s="26">
        <v>102</v>
      </c>
      <c r="D312" s="27">
        <v>1</v>
      </c>
      <c r="E312" s="26">
        <v>23</v>
      </c>
      <c r="F312" s="26">
        <v>3</v>
      </c>
      <c r="G312" s="27">
        <v>15.2</v>
      </c>
      <c r="H312" s="26">
        <v>146</v>
      </c>
      <c r="I312" s="14">
        <f>H312/A312</f>
        <v>1.7590361445783131</v>
      </c>
      <c r="J312" s="26">
        <v>1</v>
      </c>
      <c r="K312" s="27">
        <v>1</v>
      </c>
      <c r="L312" s="26">
        <v>42</v>
      </c>
      <c r="M312" s="26">
        <v>1</v>
      </c>
      <c r="N312" s="28">
        <v>17.600000000000001</v>
      </c>
      <c r="O312" s="14">
        <f>N312/G312</f>
        <v>1.1578947368421053</v>
      </c>
      <c r="P312" s="14">
        <f>N312-G312</f>
        <v>2.4000000000000021</v>
      </c>
      <c r="Q312" s="17">
        <f>IF(F312&lt;2,IF(M312&lt;2,0,1),1)</f>
        <v>1</v>
      </c>
      <c r="R312" s="18">
        <f>K312-D312</f>
        <v>0</v>
      </c>
      <c r="S312" s="17">
        <f>IF(R312&gt;0.09,1,0)</f>
        <v>0</v>
      </c>
      <c r="T312" s="29">
        <v>0</v>
      </c>
      <c r="U312" s="29">
        <v>1</v>
      </c>
      <c r="V312" s="17">
        <f>SUM(J312,Q312,S312,T312,U312)</f>
        <v>3</v>
      </c>
      <c r="W312" s="17">
        <v>3</v>
      </c>
      <c r="X312" s="17">
        <v>3</v>
      </c>
      <c r="Y312" s="12">
        <v>0</v>
      </c>
    </row>
    <row r="313" spans="1:25" s="19" customFormat="1" ht="12.75" x14ac:dyDescent="0.2">
      <c r="A313" s="26">
        <v>65</v>
      </c>
      <c r="B313" s="26">
        <v>130</v>
      </c>
      <c r="C313" s="26">
        <v>90</v>
      </c>
      <c r="D313" s="27">
        <v>1</v>
      </c>
      <c r="E313" s="26">
        <v>52</v>
      </c>
      <c r="F313" s="26">
        <v>1</v>
      </c>
      <c r="G313" s="27">
        <v>12.85</v>
      </c>
      <c r="H313" s="26">
        <v>117</v>
      </c>
      <c r="I313" s="14">
        <f>H313/A313</f>
        <v>1.8</v>
      </c>
      <c r="J313" s="26">
        <v>1</v>
      </c>
      <c r="K313" s="27">
        <v>1</v>
      </c>
      <c r="L313" s="26">
        <v>85</v>
      </c>
      <c r="M313" s="26">
        <v>1</v>
      </c>
      <c r="N313" s="28">
        <v>14.8</v>
      </c>
      <c r="O313" s="14">
        <f>N313/G313</f>
        <v>1.151750972762646</v>
      </c>
      <c r="P313" s="14">
        <f>N313-G313</f>
        <v>1.9500000000000011</v>
      </c>
      <c r="Q313" s="17">
        <f>IF(F313&lt;2,IF(M313&lt;2,0,1),1)</f>
        <v>0</v>
      </c>
      <c r="R313" s="18">
        <f>K313-D313</f>
        <v>0</v>
      </c>
      <c r="S313" s="17">
        <f>IF(R313&gt;0.09,1,0)</f>
        <v>0</v>
      </c>
      <c r="T313" s="29">
        <v>0</v>
      </c>
      <c r="U313" s="29">
        <v>1</v>
      </c>
      <c r="V313" s="17">
        <f>SUM(J313,Q313,S313,T313,U313)</f>
        <v>2</v>
      </c>
      <c r="W313" s="17">
        <v>3</v>
      </c>
      <c r="X313" s="17">
        <v>3</v>
      </c>
      <c r="Y313" s="12">
        <v>0</v>
      </c>
    </row>
    <row r="314" spans="1:25" s="19" customFormat="1" ht="12.75" x14ac:dyDescent="0.2">
      <c r="A314" s="26">
        <v>60</v>
      </c>
      <c r="B314" s="26">
        <v>108</v>
      </c>
      <c r="C314" s="26">
        <v>81</v>
      </c>
      <c r="D314" s="27">
        <v>1</v>
      </c>
      <c r="E314" s="26">
        <v>14</v>
      </c>
      <c r="F314" s="26">
        <v>6</v>
      </c>
      <c r="G314" s="27">
        <v>14.7</v>
      </c>
      <c r="H314" s="26">
        <v>96</v>
      </c>
      <c r="I314" s="14">
        <f>H314/A314</f>
        <v>1.6</v>
      </c>
      <c r="J314" s="26">
        <v>1</v>
      </c>
      <c r="K314" s="27">
        <v>1.19</v>
      </c>
      <c r="L314" s="26">
        <v>20</v>
      </c>
      <c r="M314" s="26">
        <v>5</v>
      </c>
      <c r="N314" s="28">
        <v>16.2</v>
      </c>
      <c r="O314" s="14">
        <f>N314/G314</f>
        <v>1.1020408163265307</v>
      </c>
      <c r="P314" s="14">
        <f>N314-G314</f>
        <v>1.5</v>
      </c>
      <c r="Q314" s="17">
        <f>IF(F314&lt;2,IF(M314&lt;2,0,1),1)</f>
        <v>1</v>
      </c>
      <c r="R314" s="18">
        <f>K314-D314</f>
        <v>0.18999999999999995</v>
      </c>
      <c r="S314" s="17">
        <f>IF(R314&gt;0.09,1,0)</f>
        <v>1</v>
      </c>
      <c r="T314" s="29">
        <v>0</v>
      </c>
      <c r="U314" s="29">
        <v>1</v>
      </c>
      <c r="V314" s="17">
        <f>SUM(J314,Q314,S314,T314,U314)</f>
        <v>4</v>
      </c>
      <c r="W314" s="17">
        <v>4</v>
      </c>
      <c r="X314" s="17">
        <v>4</v>
      </c>
      <c r="Y314" s="12">
        <v>0</v>
      </c>
    </row>
    <row r="315" spans="1:25" s="19" customFormat="1" ht="12.75" x14ac:dyDescent="0.2">
      <c r="A315" s="26">
        <v>62</v>
      </c>
      <c r="B315" s="26">
        <v>122</v>
      </c>
      <c r="C315" s="26">
        <v>97</v>
      </c>
      <c r="D315" s="27">
        <v>1</v>
      </c>
      <c r="E315" s="26">
        <v>17</v>
      </c>
      <c r="F315" s="26">
        <v>3</v>
      </c>
      <c r="G315" s="27">
        <v>13.9</v>
      </c>
      <c r="H315" s="26">
        <v>126</v>
      </c>
      <c r="I315" s="14">
        <f>H315/A315</f>
        <v>2.032258064516129</v>
      </c>
      <c r="J315" s="26">
        <v>0</v>
      </c>
      <c r="K315" s="27">
        <v>1</v>
      </c>
      <c r="L315" s="26">
        <v>42</v>
      </c>
      <c r="M315" s="26">
        <v>2</v>
      </c>
      <c r="N315" s="28">
        <v>21.1</v>
      </c>
      <c r="O315" s="14">
        <f>N315/G315</f>
        <v>1.5179856115107915</v>
      </c>
      <c r="P315" s="14">
        <f>N315-G315</f>
        <v>7.2000000000000011</v>
      </c>
      <c r="Q315" s="17">
        <f>IF(F315&lt;2,IF(M315&lt;2,0,1),1)</f>
        <v>1</v>
      </c>
      <c r="R315" s="18">
        <f>K315-D315</f>
        <v>0</v>
      </c>
      <c r="S315" s="17">
        <f>IF(R315&gt;0.09,1,0)</f>
        <v>0</v>
      </c>
      <c r="T315" s="29">
        <v>0</v>
      </c>
      <c r="U315" s="29">
        <v>0</v>
      </c>
      <c r="V315" s="17">
        <f>SUM(J315,Q315,S315,T315,U315)</f>
        <v>1</v>
      </c>
      <c r="W315" s="17">
        <v>1</v>
      </c>
      <c r="X315" s="17">
        <v>1</v>
      </c>
      <c r="Y315" s="12">
        <v>0</v>
      </c>
    </row>
    <row r="316" spans="1:25" s="19" customFormat="1" ht="12.75" x14ac:dyDescent="0.2">
      <c r="A316" s="26">
        <v>68</v>
      </c>
      <c r="B316" s="26">
        <v>123</v>
      </c>
      <c r="C316" s="26">
        <v>82</v>
      </c>
      <c r="D316" s="27">
        <v>1.06</v>
      </c>
      <c r="E316" s="26">
        <v>16</v>
      </c>
      <c r="F316" s="26">
        <v>0</v>
      </c>
      <c r="G316" s="27">
        <v>15.2</v>
      </c>
      <c r="H316" s="26">
        <v>125</v>
      </c>
      <c r="I316" s="14">
        <f>H316/A316</f>
        <v>1.838235294117647</v>
      </c>
      <c r="J316" s="26">
        <v>0</v>
      </c>
      <c r="K316" s="27">
        <v>1.25</v>
      </c>
      <c r="L316" s="26">
        <v>17</v>
      </c>
      <c r="M316" s="26">
        <v>1</v>
      </c>
      <c r="N316" s="28">
        <v>14.8</v>
      </c>
      <c r="O316" s="14">
        <f>N316/G316</f>
        <v>0.97368421052631593</v>
      </c>
      <c r="P316" s="14">
        <f>N316-G316</f>
        <v>-0.39999999999999858</v>
      </c>
      <c r="Q316" s="17">
        <f>IF(F316&lt;2,IF(M316&lt;2,0,1),1)</f>
        <v>0</v>
      </c>
      <c r="R316" s="18">
        <f>K316-D316</f>
        <v>0.18999999999999995</v>
      </c>
      <c r="S316" s="17">
        <f>IF(R316&gt;0.09,1,0)</f>
        <v>1</v>
      </c>
      <c r="T316" s="29">
        <v>1</v>
      </c>
      <c r="U316" s="29">
        <v>1</v>
      </c>
      <c r="V316" s="17">
        <f>SUM(J316,Q316,S316,T316,U316)</f>
        <v>3</v>
      </c>
      <c r="W316" s="17">
        <v>4</v>
      </c>
      <c r="X316" s="17">
        <v>4</v>
      </c>
      <c r="Y316" s="12">
        <v>1</v>
      </c>
    </row>
    <row r="317" spans="1:25" s="19" customFormat="1" ht="12.75" x14ac:dyDescent="0.2">
      <c r="A317" s="26">
        <v>74</v>
      </c>
      <c r="B317" s="26">
        <v>108</v>
      </c>
      <c r="C317" s="26">
        <v>78</v>
      </c>
      <c r="D317" s="27">
        <v>1</v>
      </c>
      <c r="E317" s="26">
        <v>24</v>
      </c>
      <c r="F317" s="26">
        <v>3</v>
      </c>
      <c r="G317" s="27">
        <v>15.7</v>
      </c>
      <c r="H317" s="26">
        <v>98</v>
      </c>
      <c r="I317" s="14">
        <f>H317/A317</f>
        <v>1.3243243243243243</v>
      </c>
      <c r="J317" s="26">
        <v>1</v>
      </c>
      <c r="K317" s="27">
        <v>1.19</v>
      </c>
      <c r="L317" s="26">
        <v>36</v>
      </c>
      <c r="M317" s="26">
        <v>4</v>
      </c>
      <c r="N317" s="28">
        <v>18</v>
      </c>
      <c r="O317" s="14">
        <f>N317/G317</f>
        <v>1.1464968152866242</v>
      </c>
      <c r="P317" s="14">
        <f>N317-G317</f>
        <v>2.3000000000000007</v>
      </c>
      <c r="Q317" s="17">
        <f>IF(F317&lt;2,IF(M317&lt;2,0,1),1)</f>
        <v>1</v>
      </c>
      <c r="R317" s="18">
        <f>K317-D317</f>
        <v>0.18999999999999995</v>
      </c>
      <c r="S317" s="17">
        <f>IF(R317&gt;0.09,1,0)</f>
        <v>1</v>
      </c>
      <c r="T317" s="29">
        <v>0</v>
      </c>
      <c r="U317" s="29">
        <v>1</v>
      </c>
      <c r="V317" s="17">
        <f>SUM(J317,Q317,S317,T317,U317)</f>
        <v>4</v>
      </c>
      <c r="W317" s="17">
        <v>4</v>
      </c>
      <c r="X317" s="17">
        <v>4</v>
      </c>
      <c r="Y317" s="12">
        <v>1</v>
      </c>
    </row>
    <row r="318" spans="1:25" s="19" customFormat="1" ht="12.75" x14ac:dyDescent="0.2">
      <c r="A318" s="26">
        <v>72</v>
      </c>
      <c r="B318" s="26">
        <v>122</v>
      </c>
      <c r="C318" s="26">
        <v>89</v>
      </c>
      <c r="D318" s="27">
        <v>1</v>
      </c>
      <c r="E318" s="26">
        <v>26</v>
      </c>
      <c r="F318" s="26">
        <v>4</v>
      </c>
      <c r="G318" s="27">
        <v>14.3</v>
      </c>
      <c r="H318" s="26">
        <v>103</v>
      </c>
      <c r="I318" s="14">
        <f>H318/A318</f>
        <v>1.4305555555555556</v>
      </c>
      <c r="J318" s="26">
        <v>1</v>
      </c>
      <c r="K318" s="27">
        <v>1.1200000000000001</v>
      </c>
      <c r="L318" s="26">
        <v>46</v>
      </c>
      <c r="M318" s="26">
        <v>1</v>
      </c>
      <c r="N318" s="28">
        <v>23.7</v>
      </c>
      <c r="O318" s="14">
        <f>N318/G318</f>
        <v>1.6573426573426573</v>
      </c>
      <c r="P318" s="14">
        <f>N318-G318</f>
        <v>9.3999999999999986</v>
      </c>
      <c r="Q318" s="17">
        <f>IF(F318&lt;2,IF(M318&lt;2,0,1),1)</f>
        <v>1</v>
      </c>
      <c r="R318" s="18">
        <f>K318-D318</f>
        <v>0.12000000000000011</v>
      </c>
      <c r="S318" s="17">
        <f>IF(R318&gt;0.09,1,0)</f>
        <v>1</v>
      </c>
      <c r="T318" s="29">
        <v>1</v>
      </c>
      <c r="U318" s="29">
        <v>1</v>
      </c>
      <c r="V318" s="17">
        <f>SUM(J318,Q318,S318,T318,U318)</f>
        <v>5</v>
      </c>
      <c r="W318" s="17">
        <v>6</v>
      </c>
      <c r="X318" s="17">
        <v>7</v>
      </c>
      <c r="Y318" s="12">
        <v>0</v>
      </c>
    </row>
    <row r="319" spans="1:25" s="19" customFormat="1" ht="12.75" x14ac:dyDescent="0.2">
      <c r="A319" s="26">
        <v>48</v>
      </c>
      <c r="B319" s="26">
        <v>135</v>
      </c>
      <c r="C319" s="26">
        <v>88</v>
      </c>
      <c r="D319" s="27">
        <v>1</v>
      </c>
      <c r="E319" s="26">
        <v>15</v>
      </c>
      <c r="F319" s="26">
        <v>0</v>
      </c>
      <c r="G319" s="27">
        <v>20.3</v>
      </c>
      <c r="H319" s="26">
        <v>125</v>
      </c>
      <c r="I319" s="14">
        <f>H319/A319</f>
        <v>2.6041666666666665</v>
      </c>
      <c r="J319" s="26">
        <v>0</v>
      </c>
      <c r="K319" s="27">
        <v>1</v>
      </c>
      <c r="L319" s="26">
        <v>34</v>
      </c>
      <c r="M319" s="26">
        <v>0</v>
      </c>
      <c r="N319" s="28">
        <v>21.6</v>
      </c>
      <c r="O319" s="14">
        <f>N319/G319</f>
        <v>1.0640394088669951</v>
      </c>
      <c r="P319" s="14">
        <f>N319-G319</f>
        <v>1.3000000000000007</v>
      </c>
      <c r="Q319" s="17">
        <f>IF(F319&lt;2,IF(M319&lt;2,0,1),1)</f>
        <v>0</v>
      </c>
      <c r="R319" s="18">
        <f>K319-D319</f>
        <v>0</v>
      </c>
      <c r="S319" s="17">
        <f>IF(R319&gt;0.09,1,0)</f>
        <v>0</v>
      </c>
      <c r="T319" s="29">
        <v>1</v>
      </c>
      <c r="U319" s="29">
        <v>0</v>
      </c>
      <c r="V319" s="17">
        <f>SUM(J319,Q319,S319,T319,U319)</f>
        <v>1</v>
      </c>
      <c r="W319" s="17">
        <v>2</v>
      </c>
      <c r="X319" s="17">
        <v>3</v>
      </c>
      <c r="Y319" s="12">
        <v>0</v>
      </c>
    </row>
    <row r="320" spans="1:25" s="19" customFormat="1" ht="12.75" x14ac:dyDescent="0.2">
      <c r="A320" s="26">
        <v>69</v>
      </c>
      <c r="B320" s="26">
        <v>123</v>
      </c>
      <c r="C320" s="26">
        <v>72</v>
      </c>
      <c r="D320" s="27">
        <v>1</v>
      </c>
      <c r="E320" s="26">
        <v>35</v>
      </c>
      <c r="F320" s="26">
        <v>2</v>
      </c>
      <c r="G320" s="27">
        <v>13.1</v>
      </c>
      <c r="H320" s="26">
        <v>90</v>
      </c>
      <c r="I320" s="14">
        <f>H320/A320</f>
        <v>1.3043478260869565</v>
      </c>
      <c r="J320" s="26">
        <v>1</v>
      </c>
      <c r="K320" s="27">
        <v>1</v>
      </c>
      <c r="L320" s="26">
        <v>53</v>
      </c>
      <c r="M320" s="26">
        <v>0</v>
      </c>
      <c r="N320" s="28">
        <v>15.9</v>
      </c>
      <c r="O320" s="14">
        <f>N320/G320</f>
        <v>1.2137404580152673</v>
      </c>
      <c r="P320" s="14">
        <f>N320-G320</f>
        <v>2.8000000000000007</v>
      </c>
      <c r="Q320" s="17">
        <f>IF(F320&lt;2,IF(M320&lt;2,0,1),1)</f>
        <v>1</v>
      </c>
      <c r="R320" s="18">
        <f>K320-D320</f>
        <v>0</v>
      </c>
      <c r="S320" s="17">
        <f>IF(R320&gt;0.09,1,0)</f>
        <v>0</v>
      </c>
      <c r="T320" s="29">
        <v>1</v>
      </c>
      <c r="U320" s="29">
        <v>1</v>
      </c>
      <c r="V320" s="17">
        <f>SUM(J320,Q320,S320,T320,U320)</f>
        <v>4</v>
      </c>
      <c r="W320" s="17">
        <v>5</v>
      </c>
      <c r="X320" s="17">
        <v>5</v>
      </c>
      <c r="Y320" s="12">
        <v>0</v>
      </c>
    </row>
    <row r="321" spans="1:25" s="19" customFormat="1" ht="12.75" x14ac:dyDescent="0.2">
      <c r="A321" s="26">
        <v>83</v>
      </c>
      <c r="B321" s="26">
        <v>158</v>
      </c>
      <c r="C321" s="26">
        <v>81</v>
      </c>
      <c r="D321" s="27">
        <v>1</v>
      </c>
      <c r="E321" s="26"/>
      <c r="F321" s="26">
        <v>0</v>
      </c>
      <c r="G321" s="27"/>
      <c r="H321" s="26">
        <v>104</v>
      </c>
      <c r="I321" s="14">
        <f>H321/A321</f>
        <v>1.2530120481927711</v>
      </c>
      <c r="J321" s="26">
        <v>1</v>
      </c>
      <c r="K321" s="27">
        <v>1.56</v>
      </c>
      <c r="L321" s="26"/>
      <c r="M321" s="26">
        <v>0</v>
      </c>
      <c r="N321" s="28"/>
      <c r="O321" s="14"/>
      <c r="P321" s="14"/>
      <c r="Q321" s="17">
        <f>IF(F321&lt;2,IF(M321&lt;2,0,1),1)</f>
        <v>0</v>
      </c>
      <c r="R321" s="18">
        <f>K321-D321</f>
        <v>0.56000000000000005</v>
      </c>
      <c r="S321" s="17">
        <f>IF(R321&gt;0.09,1,0)</f>
        <v>1</v>
      </c>
      <c r="T321" s="29">
        <v>1</v>
      </c>
      <c r="U321" s="29"/>
      <c r="V321" s="17">
        <f>SUM(J321,Q321,S321,T321,U321)</f>
        <v>3</v>
      </c>
      <c r="W321" s="17">
        <v>4</v>
      </c>
      <c r="X321" s="17">
        <v>5</v>
      </c>
      <c r="Y321" s="12">
        <v>1</v>
      </c>
    </row>
    <row r="322" spans="1:25" s="19" customFormat="1" ht="12.75" x14ac:dyDescent="0.2">
      <c r="A322" s="26">
        <v>64</v>
      </c>
      <c r="B322" s="26">
        <v>127</v>
      </c>
      <c r="C322" s="26">
        <v>83</v>
      </c>
      <c r="D322" s="27">
        <v>1</v>
      </c>
      <c r="E322" s="26">
        <v>45</v>
      </c>
      <c r="F322" s="26">
        <v>0</v>
      </c>
      <c r="G322" s="27">
        <v>7.7</v>
      </c>
      <c r="H322" s="26">
        <v>108</v>
      </c>
      <c r="I322" s="14">
        <f>H322/A322</f>
        <v>1.6875</v>
      </c>
      <c r="J322" s="26">
        <v>1</v>
      </c>
      <c r="K322" s="27">
        <v>1.19</v>
      </c>
      <c r="L322" s="26">
        <v>52</v>
      </c>
      <c r="M322" s="26">
        <v>0</v>
      </c>
      <c r="N322" s="28">
        <v>19.899999999999999</v>
      </c>
      <c r="O322" s="14">
        <f>N322/G322</f>
        <v>2.5844155844155843</v>
      </c>
      <c r="P322" s="14">
        <f>N322-G322</f>
        <v>12.2</v>
      </c>
      <c r="Q322" s="17">
        <f>IF(F322&lt;2,IF(M322&lt;2,0,1),1)</f>
        <v>0</v>
      </c>
      <c r="R322" s="18">
        <f>K322-D322</f>
        <v>0.18999999999999995</v>
      </c>
      <c r="S322" s="17">
        <f>IF(R322&gt;0.09,1,0)</f>
        <v>1</v>
      </c>
      <c r="T322" s="29">
        <v>1</v>
      </c>
      <c r="U322" s="29">
        <v>1</v>
      </c>
      <c r="V322" s="17">
        <f>SUM(J322,Q322,S322,T322,U322)</f>
        <v>4</v>
      </c>
      <c r="W322" s="17">
        <v>5</v>
      </c>
      <c r="X322" s="17">
        <v>5</v>
      </c>
      <c r="Y322" s="12">
        <v>0</v>
      </c>
    </row>
    <row r="323" spans="1:25" s="19" customFormat="1" x14ac:dyDescent="0.25">
      <c r="A323" s="26">
        <v>64</v>
      </c>
      <c r="B323" s="26">
        <v>120</v>
      </c>
      <c r="C323" s="26">
        <v>88</v>
      </c>
      <c r="D323" s="27">
        <v>1</v>
      </c>
      <c r="E323" s="26">
        <v>20</v>
      </c>
      <c r="F323" s="26">
        <v>1</v>
      </c>
      <c r="G323" s="27">
        <v>15</v>
      </c>
      <c r="H323" s="26">
        <v>127</v>
      </c>
      <c r="I323" s="14">
        <f>H323/A323</f>
        <v>1.984375</v>
      </c>
      <c r="J323" s="26">
        <v>0</v>
      </c>
      <c r="K323" s="27">
        <v>1</v>
      </c>
      <c r="L323" s="26">
        <v>46</v>
      </c>
      <c r="M323" s="26">
        <v>1</v>
      </c>
      <c r="N323" s="28">
        <v>17.899999999999999</v>
      </c>
      <c r="O323" s="14">
        <f>N323/G323</f>
        <v>1.1933333333333331</v>
      </c>
      <c r="P323" s="14">
        <f>N323-G323</f>
        <v>2.8999999999999986</v>
      </c>
      <c r="Q323" s="17">
        <f>IF(F323&lt;2,IF(M323&lt;2,0,1),1)</f>
        <v>0</v>
      </c>
      <c r="R323" s="18">
        <f>K323-D323</f>
        <v>0</v>
      </c>
      <c r="S323" s="17">
        <f>IF(R323&gt;0.09,1,0)</f>
        <v>0</v>
      </c>
      <c r="T323" s="29">
        <v>0</v>
      </c>
      <c r="U323" s="29">
        <v>0</v>
      </c>
      <c r="V323" s="17">
        <f>SUM(J323,Q323,S323,T323,U323)</f>
        <v>0</v>
      </c>
      <c r="W323" s="17">
        <v>1</v>
      </c>
      <c r="X323" s="17">
        <v>2</v>
      </c>
      <c r="Y323" s="37"/>
    </row>
    <row r="324" spans="1:25" s="19" customFormat="1" x14ac:dyDescent="0.25">
      <c r="A324" s="26">
        <v>80</v>
      </c>
      <c r="B324" s="26">
        <v>150</v>
      </c>
      <c r="C324" s="26">
        <v>85</v>
      </c>
      <c r="D324" s="27">
        <v>1</v>
      </c>
      <c r="E324" s="26">
        <v>55</v>
      </c>
      <c r="F324" s="26">
        <v>2</v>
      </c>
      <c r="G324" s="27">
        <v>20.3</v>
      </c>
      <c r="H324" s="26">
        <v>94</v>
      </c>
      <c r="I324" s="14">
        <f>H324/A324</f>
        <v>1.175</v>
      </c>
      <c r="J324" s="26">
        <v>1</v>
      </c>
      <c r="K324" s="27">
        <v>1</v>
      </c>
      <c r="L324" s="26">
        <v>81</v>
      </c>
      <c r="M324" s="26">
        <v>0</v>
      </c>
      <c r="N324" s="28">
        <v>19</v>
      </c>
      <c r="O324" s="14">
        <f>N324/G324</f>
        <v>0.93596059113300489</v>
      </c>
      <c r="P324" s="14">
        <f>N324-G324</f>
        <v>-1.3000000000000007</v>
      </c>
      <c r="Q324" s="17">
        <f>IF(F324&lt;2,IF(M324&lt;2,0,1),1)</f>
        <v>1</v>
      </c>
      <c r="R324" s="18">
        <f>K324-D324</f>
        <v>0</v>
      </c>
      <c r="S324" s="17">
        <f>IF(R324&gt;0.09,1,0)</f>
        <v>0</v>
      </c>
      <c r="T324" s="29">
        <v>1</v>
      </c>
      <c r="U324" s="29">
        <v>1</v>
      </c>
      <c r="V324" s="17">
        <f>SUM(J324,Q324,S324,T324,U324)</f>
        <v>4</v>
      </c>
      <c r="W324" s="17">
        <v>5</v>
      </c>
      <c r="X324" s="17">
        <v>6</v>
      </c>
      <c r="Y324" s="37">
        <v>0</v>
      </c>
    </row>
    <row r="325" spans="1:25" s="19" customFormat="1" x14ac:dyDescent="0.25">
      <c r="A325" s="26">
        <v>72</v>
      </c>
      <c r="B325" s="26">
        <v>129</v>
      </c>
      <c r="C325" s="26">
        <v>80</v>
      </c>
      <c r="D325" s="27">
        <v>1</v>
      </c>
      <c r="E325" s="26">
        <v>24</v>
      </c>
      <c r="F325" s="26">
        <v>7</v>
      </c>
      <c r="G325" s="27">
        <v>12.3</v>
      </c>
      <c r="H325" s="26">
        <v>109</v>
      </c>
      <c r="I325" s="14">
        <f>H325/A325</f>
        <v>1.5138888888888888</v>
      </c>
      <c r="J325" s="26">
        <v>1</v>
      </c>
      <c r="K325" s="27">
        <v>1.19</v>
      </c>
      <c r="L325" s="26">
        <v>39</v>
      </c>
      <c r="M325" s="26">
        <v>6</v>
      </c>
      <c r="N325" s="28">
        <v>16</v>
      </c>
      <c r="O325" s="14">
        <f>N325/G325</f>
        <v>1.3008130081300813</v>
      </c>
      <c r="P325" s="14">
        <f>N325-G325</f>
        <v>3.6999999999999993</v>
      </c>
      <c r="Q325" s="17">
        <f>IF(F325&lt;2,IF(M325&lt;2,0,1),1)</f>
        <v>1</v>
      </c>
      <c r="R325" s="18">
        <f>K325-D325</f>
        <v>0.18999999999999995</v>
      </c>
      <c r="S325" s="17">
        <f>IF(R325&gt;0.09,1,0)</f>
        <v>1</v>
      </c>
      <c r="T325" s="29">
        <v>1</v>
      </c>
      <c r="U325" s="29">
        <v>1</v>
      </c>
      <c r="V325" s="17">
        <f>SUM(J325,Q325,S325,T325,U325)</f>
        <v>5</v>
      </c>
      <c r="W325" s="17">
        <v>6</v>
      </c>
      <c r="X325" s="17">
        <v>6</v>
      </c>
      <c r="Y325" s="37">
        <v>1</v>
      </c>
    </row>
    <row r="326" spans="1:25" s="19" customFormat="1" x14ac:dyDescent="0.25">
      <c r="A326" s="26">
        <v>87</v>
      </c>
      <c r="B326" s="26">
        <v>136</v>
      </c>
      <c r="C326" s="26">
        <v>104</v>
      </c>
      <c r="D326" s="27">
        <v>1.06</v>
      </c>
      <c r="E326" s="26">
        <v>25</v>
      </c>
      <c r="F326" s="26">
        <v>2</v>
      </c>
      <c r="G326" s="27">
        <v>13.2</v>
      </c>
      <c r="H326" s="26">
        <v>153</v>
      </c>
      <c r="I326" s="14">
        <f>H326/A326</f>
        <v>1.7586206896551724</v>
      </c>
      <c r="J326" s="26">
        <v>1</v>
      </c>
      <c r="K326" s="27">
        <v>1.06</v>
      </c>
      <c r="L326" s="26">
        <v>51</v>
      </c>
      <c r="M326" s="26">
        <v>2</v>
      </c>
      <c r="N326" s="28">
        <v>16.7</v>
      </c>
      <c r="O326" s="14">
        <f>N326/G326</f>
        <v>1.2651515151515151</v>
      </c>
      <c r="P326" s="14">
        <f>N326-G326</f>
        <v>3.5</v>
      </c>
      <c r="Q326" s="17">
        <f>IF(F326&lt;2,IF(M326&lt;2,0,1),1)</f>
        <v>1</v>
      </c>
      <c r="R326" s="18">
        <f>K326-D326</f>
        <v>0</v>
      </c>
      <c r="S326" s="17">
        <f>IF(R326&gt;0.09,1,0)</f>
        <v>0</v>
      </c>
      <c r="T326" s="29">
        <v>0</v>
      </c>
      <c r="U326" s="29">
        <v>0</v>
      </c>
      <c r="V326" s="17">
        <f>SUM(J326,Q326,S326,T326,U326)</f>
        <v>2</v>
      </c>
      <c r="W326" s="17">
        <v>2</v>
      </c>
      <c r="X326" s="17">
        <v>2</v>
      </c>
      <c r="Y326" s="37">
        <v>0</v>
      </c>
    </row>
    <row r="327" spans="1:25" s="19" customFormat="1" ht="12.75" x14ac:dyDescent="0.2">
      <c r="A327" s="26">
        <v>62</v>
      </c>
      <c r="B327" s="26">
        <v>128</v>
      </c>
      <c r="C327" s="26">
        <v>83</v>
      </c>
      <c r="D327" s="27">
        <v>1</v>
      </c>
      <c r="E327" s="26">
        <v>27</v>
      </c>
      <c r="F327" s="26">
        <v>3</v>
      </c>
      <c r="G327" s="27">
        <v>14.8</v>
      </c>
      <c r="H327" s="26">
        <v>116</v>
      </c>
      <c r="I327" s="14">
        <f>H327/A327</f>
        <v>1.8709677419354838</v>
      </c>
      <c r="J327" s="26">
        <v>0</v>
      </c>
      <c r="K327" s="27">
        <v>1</v>
      </c>
      <c r="L327" s="26">
        <v>43</v>
      </c>
      <c r="M327" s="26"/>
      <c r="N327" s="28">
        <v>19.600000000000001</v>
      </c>
      <c r="O327" s="14">
        <f>N327/G327</f>
        <v>1.3243243243243243</v>
      </c>
      <c r="P327" s="14">
        <f>N327-G327</f>
        <v>4.8000000000000007</v>
      </c>
      <c r="Q327" s="17">
        <f>IF(F327&lt;2,IF(M327&lt;2,0,1),1)</f>
        <v>1</v>
      </c>
      <c r="R327" s="18">
        <f>K327-D327</f>
        <v>0</v>
      </c>
      <c r="S327" s="17">
        <f>IF(R327&gt;0.09,1,0)</f>
        <v>0</v>
      </c>
      <c r="T327" s="29">
        <v>0</v>
      </c>
      <c r="U327" s="29">
        <v>1</v>
      </c>
      <c r="V327" s="17">
        <f>SUM(J327,Q327,S327,T327,U327)</f>
        <v>2</v>
      </c>
      <c r="W327" s="17">
        <v>2</v>
      </c>
      <c r="X327" s="17">
        <v>2</v>
      </c>
      <c r="Y327" s="19">
        <v>0</v>
      </c>
    </row>
    <row r="328" spans="1:25" s="19" customFormat="1" ht="12.75" x14ac:dyDescent="0.2">
      <c r="A328" s="26">
        <v>67</v>
      </c>
      <c r="B328" s="26">
        <v>111</v>
      </c>
      <c r="C328" s="26">
        <v>65</v>
      </c>
      <c r="D328" s="27">
        <v>1</v>
      </c>
      <c r="E328" s="26">
        <v>17</v>
      </c>
      <c r="F328" s="26">
        <v>0</v>
      </c>
      <c r="G328" s="27"/>
      <c r="H328" s="26">
        <v>130</v>
      </c>
      <c r="I328" s="14">
        <f>H328/A328</f>
        <v>1.9402985074626866</v>
      </c>
      <c r="J328" s="26">
        <v>0</v>
      </c>
      <c r="K328" s="27">
        <v>1</v>
      </c>
      <c r="L328" s="26">
        <v>44</v>
      </c>
      <c r="M328" s="26">
        <v>2</v>
      </c>
      <c r="N328" s="28"/>
      <c r="O328" s="14"/>
      <c r="P328" s="14"/>
      <c r="Q328" s="17">
        <f>IF(F328&lt;2,IF(M328&lt;2,0,1),1)</f>
        <v>1</v>
      </c>
      <c r="R328" s="18">
        <f>K328-D328</f>
        <v>0</v>
      </c>
      <c r="S328" s="17">
        <f>IF(R328&gt;0.09,1,0)</f>
        <v>0</v>
      </c>
      <c r="T328" s="29">
        <v>1</v>
      </c>
      <c r="U328" s="29">
        <v>0</v>
      </c>
      <c r="V328" s="17">
        <f>SUM(J328,Q328,S328,T328,U328)</f>
        <v>2</v>
      </c>
      <c r="W328" s="17">
        <v>3</v>
      </c>
      <c r="X328" s="17">
        <v>4</v>
      </c>
      <c r="Y328" s="12">
        <v>0</v>
      </c>
    </row>
    <row r="329" spans="1:25" s="19" customFormat="1" ht="12.75" x14ac:dyDescent="0.2">
      <c r="A329" s="26">
        <v>79</v>
      </c>
      <c r="B329" s="26">
        <v>104</v>
      </c>
      <c r="C329" s="26">
        <v>82</v>
      </c>
      <c r="D329" s="27">
        <v>1</v>
      </c>
      <c r="E329" s="26">
        <v>18</v>
      </c>
      <c r="F329" s="26">
        <v>0</v>
      </c>
      <c r="G329" s="27">
        <v>15</v>
      </c>
      <c r="H329" s="26">
        <v>133</v>
      </c>
      <c r="I329" s="14">
        <f>H329/A329</f>
        <v>1.6835443037974684</v>
      </c>
      <c r="J329" s="26">
        <v>1</v>
      </c>
      <c r="K329" s="27">
        <v>1</v>
      </c>
      <c r="L329" s="26">
        <v>27</v>
      </c>
      <c r="M329" s="26">
        <v>1</v>
      </c>
      <c r="N329" s="28">
        <v>15.4</v>
      </c>
      <c r="O329" s="14">
        <f>N329/G329</f>
        <v>1.0266666666666666</v>
      </c>
      <c r="P329" s="14">
        <f>N329-G329</f>
        <v>0.40000000000000036</v>
      </c>
      <c r="Q329" s="17">
        <f>IF(F329&lt;2,IF(M329&lt;2,0,1),1)</f>
        <v>0</v>
      </c>
      <c r="R329" s="18">
        <f>K329-D329</f>
        <v>0</v>
      </c>
      <c r="S329" s="17">
        <f>IF(R329&gt;0.09,1,0)</f>
        <v>0</v>
      </c>
      <c r="T329" s="29">
        <v>1</v>
      </c>
      <c r="U329" s="29">
        <v>1</v>
      </c>
      <c r="V329" s="17">
        <f>SUM(J329,Q329,S329,T329,U329)</f>
        <v>3</v>
      </c>
      <c r="W329" s="17">
        <v>4</v>
      </c>
      <c r="X329" s="17">
        <v>4</v>
      </c>
      <c r="Y329" s="12">
        <v>0</v>
      </c>
    </row>
    <row r="330" spans="1:25" s="19" customFormat="1" ht="12.75" x14ac:dyDescent="0.2">
      <c r="A330" s="26">
        <v>96</v>
      </c>
      <c r="B330" s="26">
        <v>120</v>
      </c>
      <c r="C330" s="26">
        <v>83</v>
      </c>
      <c r="D330" s="27">
        <v>1</v>
      </c>
      <c r="E330" s="26">
        <v>26</v>
      </c>
      <c r="F330" s="26">
        <v>1</v>
      </c>
      <c r="G330" s="27">
        <v>16.2</v>
      </c>
      <c r="H330" s="26">
        <v>134</v>
      </c>
      <c r="I330" s="14">
        <f>H330/A330</f>
        <v>1.3958333333333333</v>
      </c>
      <c r="J330" s="26">
        <v>1</v>
      </c>
      <c r="K330" s="27">
        <v>1</v>
      </c>
      <c r="L330" s="26">
        <v>44</v>
      </c>
      <c r="M330" s="26">
        <v>3</v>
      </c>
      <c r="N330" s="28">
        <v>19.5</v>
      </c>
      <c r="O330" s="14">
        <f>N330/G330</f>
        <v>1.2037037037037037</v>
      </c>
      <c r="P330" s="14">
        <f>N330-G330</f>
        <v>3.3000000000000007</v>
      </c>
      <c r="Q330" s="17">
        <f>IF(F330&lt;2,IF(M330&lt;2,0,1),1)</f>
        <v>1</v>
      </c>
      <c r="R330" s="18">
        <f>K330-D330</f>
        <v>0</v>
      </c>
      <c r="S330" s="17">
        <f>IF(R330&gt;0.09,1,0)</f>
        <v>0</v>
      </c>
      <c r="T330" s="29">
        <v>1</v>
      </c>
      <c r="U330" s="29">
        <v>1</v>
      </c>
      <c r="V330" s="17">
        <f>SUM(J330,Q330,S330,T330,U330)</f>
        <v>4</v>
      </c>
      <c r="W330" s="17">
        <v>5</v>
      </c>
      <c r="X330" s="17">
        <v>5</v>
      </c>
      <c r="Y330" s="12">
        <v>0</v>
      </c>
    </row>
    <row r="331" spans="1:25" s="19" customFormat="1" ht="12.75" x14ac:dyDescent="0.2">
      <c r="A331" s="26">
        <v>75</v>
      </c>
      <c r="B331" s="26">
        <v>113</v>
      </c>
      <c r="C331" s="26">
        <v>66</v>
      </c>
      <c r="D331" s="27">
        <v>1</v>
      </c>
      <c r="E331" s="26">
        <v>27</v>
      </c>
      <c r="F331" s="26">
        <v>4</v>
      </c>
      <c r="G331" s="27"/>
      <c r="H331" s="26">
        <v>115</v>
      </c>
      <c r="I331" s="14">
        <f>H331/A331</f>
        <v>1.5333333333333334</v>
      </c>
      <c r="J331" s="26">
        <v>1</v>
      </c>
      <c r="K331" s="27">
        <v>1</v>
      </c>
      <c r="L331" s="26"/>
      <c r="M331" s="26">
        <v>0</v>
      </c>
      <c r="N331" s="28"/>
      <c r="O331" s="14"/>
      <c r="P331" s="14"/>
      <c r="Q331" s="17">
        <f>IF(F331&lt;2,IF(M331&lt;2,0,1),1)</f>
        <v>1</v>
      </c>
      <c r="R331" s="18">
        <f>K331-D331</f>
        <v>0</v>
      </c>
      <c r="S331" s="17">
        <f>IF(R331&gt;0.09,1,0)</f>
        <v>0</v>
      </c>
      <c r="T331" s="29">
        <v>1</v>
      </c>
      <c r="U331" s="29"/>
      <c r="V331" s="17">
        <f>SUM(J331,Q331,S331,T331,U331)</f>
        <v>3</v>
      </c>
      <c r="W331" s="17">
        <v>4</v>
      </c>
      <c r="X331" s="17">
        <v>4</v>
      </c>
      <c r="Y331" s="12">
        <v>0</v>
      </c>
    </row>
    <row r="332" spans="1:25" s="19" customFormat="1" ht="12.75" x14ac:dyDescent="0.2">
      <c r="A332" s="26">
        <v>62</v>
      </c>
      <c r="B332" s="26">
        <v>130</v>
      </c>
      <c r="C332" s="26">
        <v>77</v>
      </c>
      <c r="D332" s="27">
        <v>1.1200000000000001</v>
      </c>
      <c r="E332" s="26">
        <v>18</v>
      </c>
      <c r="F332" s="26">
        <v>1</v>
      </c>
      <c r="G332" s="27">
        <v>12.21</v>
      </c>
      <c r="H332" s="26">
        <v>100</v>
      </c>
      <c r="I332" s="14">
        <f>H332/A332</f>
        <v>1.6129032258064515</v>
      </c>
      <c r="J332" s="26">
        <v>1</v>
      </c>
      <c r="K332" s="27">
        <v>1.31</v>
      </c>
      <c r="L332" s="26">
        <v>25</v>
      </c>
      <c r="M332" s="26">
        <v>1</v>
      </c>
      <c r="N332" s="28">
        <v>13.6</v>
      </c>
      <c r="O332" s="14">
        <f>N332/G332</f>
        <v>1.1138411138411137</v>
      </c>
      <c r="P332" s="14">
        <f>N332-G332</f>
        <v>1.3899999999999988</v>
      </c>
      <c r="Q332" s="17">
        <f>IF(F332&lt;2,IF(M332&lt;2,0,1),1)</f>
        <v>0</v>
      </c>
      <c r="R332" s="18">
        <f>K332-D332</f>
        <v>0.18999999999999995</v>
      </c>
      <c r="S332" s="17">
        <f>IF(R332&gt;0.09,1,0)</f>
        <v>1</v>
      </c>
      <c r="T332" s="29">
        <v>1</v>
      </c>
      <c r="U332" s="29">
        <v>1</v>
      </c>
      <c r="V332" s="17">
        <f>SUM(J332,Q332,S332,T332,U332)</f>
        <v>4</v>
      </c>
      <c r="W332" s="17">
        <v>5</v>
      </c>
      <c r="X332" s="17">
        <v>5</v>
      </c>
      <c r="Y332" s="12">
        <v>0</v>
      </c>
    </row>
    <row r="333" spans="1:25" s="19" customFormat="1" x14ac:dyDescent="0.25">
      <c r="A333" s="26">
        <v>78</v>
      </c>
      <c r="B333" s="26">
        <v>156</v>
      </c>
      <c r="C333" s="26">
        <v>101</v>
      </c>
      <c r="D333" s="27">
        <v>1</v>
      </c>
      <c r="E333" s="26"/>
      <c r="F333" s="26">
        <v>6</v>
      </c>
      <c r="G333" s="27">
        <v>16.7</v>
      </c>
      <c r="H333" s="26">
        <v>125</v>
      </c>
      <c r="I333" s="14">
        <f>H333/A333</f>
        <v>1.6025641025641026</v>
      </c>
      <c r="J333" s="26">
        <v>1</v>
      </c>
      <c r="K333" s="27">
        <v>1.1200000000000001</v>
      </c>
      <c r="L333" s="26"/>
      <c r="M333" s="26"/>
      <c r="N333" s="28">
        <v>14.3</v>
      </c>
      <c r="O333" s="14">
        <f>N333/G333</f>
        <v>0.85628742514970069</v>
      </c>
      <c r="P333" s="14">
        <f>N333-G333</f>
        <v>-2.3999999999999986</v>
      </c>
      <c r="Q333" s="17">
        <f>IF(F333&lt;2,IF(M333&lt;2,0,1),1)</f>
        <v>1</v>
      </c>
      <c r="R333" s="18">
        <f>K333-D333</f>
        <v>0.12000000000000011</v>
      </c>
      <c r="S333" s="17">
        <f>IF(R333&gt;0.09,1,0)</f>
        <v>1</v>
      </c>
      <c r="T333" s="29">
        <v>1</v>
      </c>
      <c r="U333" s="29"/>
      <c r="V333" s="17">
        <f>SUM(J333,Q333,S333,T333,U333)</f>
        <v>4</v>
      </c>
      <c r="W333" s="17">
        <v>5</v>
      </c>
      <c r="X333" s="17">
        <v>5</v>
      </c>
      <c r="Y333" s="37">
        <v>1</v>
      </c>
    </row>
    <row r="334" spans="1:25" s="19" customFormat="1" ht="12.75" x14ac:dyDescent="0.2">
      <c r="A334" s="26">
        <v>77</v>
      </c>
      <c r="B334" s="26">
        <v>139</v>
      </c>
      <c r="C334" s="26">
        <v>93</v>
      </c>
      <c r="D334" s="27">
        <v>1</v>
      </c>
      <c r="E334" s="26">
        <v>22</v>
      </c>
      <c r="F334" s="26">
        <v>0</v>
      </c>
      <c r="G334" s="27">
        <v>13.6</v>
      </c>
      <c r="H334" s="26">
        <v>150</v>
      </c>
      <c r="I334" s="14">
        <f>H334/A334</f>
        <v>1.948051948051948</v>
      </c>
      <c r="J334" s="26">
        <v>0</v>
      </c>
      <c r="K334" s="27">
        <v>1</v>
      </c>
      <c r="L334" s="26">
        <v>41</v>
      </c>
      <c r="M334" s="26">
        <v>0</v>
      </c>
      <c r="N334" s="28">
        <v>15.2</v>
      </c>
      <c r="O334" s="14">
        <f>N334/G334</f>
        <v>1.1176470588235294</v>
      </c>
      <c r="P334" s="14">
        <f>N334-G334</f>
        <v>1.5999999999999996</v>
      </c>
      <c r="Q334" s="17">
        <f>IF(F334&lt;2,IF(M334&lt;2,0,1),1)</f>
        <v>0</v>
      </c>
      <c r="R334" s="18">
        <f>K334-D334</f>
        <v>0</v>
      </c>
      <c r="S334" s="17">
        <f>IF(R334&gt;0.09,1,0)</f>
        <v>0</v>
      </c>
      <c r="T334" s="29">
        <v>1</v>
      </c>
      <c r="U334" s="29">
        <v>1</v>
      </c>
      <c r="V334" s="17">
        <f>SUM(J334,Q334,S334,T334,U334)</f>
        <v>2</v>
      </c>
      <c r="W334" s="17">
        <v>2</v>
      </c>
      <c r="X334" s="17">
        <v>3</v>
      </c>
      <c r="Y334" s="12">
        <v>0</v>
      </c>
    </row>
    <row r="335" spans="1:25" s="19" customFormat="1" ht="12.75" x14ac:dyDescent="0.2">
      <c r="A335" s="26">
        <v>82</v>
      </c>
      <c r="B335" s="26">
        <v>148</v>
      </c>
      <c r="C335" s="26">
        <v>75</v>
      </c>
      <c r="D335" s="27">
        <v>1</v>
      </c>
      <c r="E335" s="26"/>
      <c r="F335" s="26">
        <v>0</v>
      </c>
      <c r="G335" s="27">
        <v>15.9</v>
      </c>
      <c r="H335" s="26">
        <v>100</v>
      </c>
      <c r="I335" s="14">
        <f>H335/A335</f>
        <v>1.2195121951219512</v>
      </c>
      <c r="J335" s="26">
        <v>1</v>
      </c>
      <c r="K335" s="27">
        <v>1</v>
      </c>
      <c r="L335" s="26"/>
      <c r="M335" s="26">
        <v>0</v>
      </c>
      <c r="N335" s="28">
        <v>16.3</v>
      </c>
      <c r="O335" s="14">
        <f>N335/G335</f>
        <v>1.0251572327044025</v>
      </c>
      <c r="P335" s="14">
        <f>N335-G335</f>
        <v>0.40000000000000036</v>
      </c>
      <c r="Q335" s="17">
        <f>IF(F335&lt;2,IF(M335&lt;2,0,1),1)</f>
        <v>0</v>
      </c>
      <c r="R335" s="18">
        <f>K335-D335</f>
        <v>0</v>
      </c>
      <c r="S335" s="17">
        <f>IF(R335&gt;0.09,1,0)</f>
        <v>0</v>
      </c>
      <c r="T335" s="29">
        <v>1</v>
      </c>
      <c r="U335" s="29"/>
      <c r="V335" s="17">
        <f>SUM(J335,Q335,S335,T335,U335)</f>
        <v>2</v>
      </c>
      <c r="W335" s="17">
        <v>2</v>
      </c>
      <c r="X335" s="17">
        <v>2</v>
      </c>
      <c r="Y335" s="12">
        <v>0</v>
      </c>
    </row>
    <row r="336" spans="1:25" s="19" customFormat="1" x14ac:dyDescent="0.25">
      <c r="A336" s="26">
        <v>63</v>
      </c>
      <c r="B336" s="26">
        <v>124</v>
      </c>
      <c r="C336" s="26">
        <v>84</v>
      </c>
      <c r="D336" s="27">
        <v>1</v>
      </c>
      <c r="E336" s="26">
        <v>23</v>
      </c>
      <c r="F336" s="26">
        <v>3</v>
      </c>
      <c r="G336" s="27">
        <v>11.4</v>
      </c>
      <c r="H336" s="26">
        <v>83</v>
      </c>
      <c r="I336" s="14">
        <f>H336/A336</f>
        <v>1.3174603174603174</v>
      </c>
      <c r="J336" s="26">
        <v>1</v>
      </c>
      <c r="K336" s="27">
        <v>1.1200000000000001</v>
      </c>
      <c r="L336" s="26">
        <v>25</v>
      </c>
      <c r="M336" s="26">
        <v>1</v>
      </c>
      <c r="N336" s="28">
        <v>13.6</v>
      </c>
      <c r="O336" s="14">
        <f>N336/G336</f>
        <v>1.1929824561403508</v>
      </c>
      <c r="P336" s="14">
        <f>N336-G336</f>
        <v>2.1999999999999993</v>
      </c>
      <c r="Q336" s="17">
        <f>IF(F336&lt;2,IF(M336&lt;2,0,1),1)</f>
        <v>1</v>
      </c>
      <c r="R336" s="18">
        <f>K336-D336</f>
        <v>0.12000000000000011</v>
      </c>
      <c r="S336" s="17">
        <f>IF(R336&gt;0.09,1,0)</f>
        <v>1</v>
      </c>
      <c r="T336" s="29">
        <v>1</v>
      </c>
      <c r="U336" s="29">
        <v>1</v>
      </c>
      <c r="V336" s="17">
        <f>SUM(J336,Q336,S336,T336,U336)</f>
        <v>5</v>
      </c>
      <c r="W336" s="17">
        <v>6</v>
      </c>
      <c r="X336" s="17">
        <v>7</v>
      </c>
      <c r="Y336" s="37">
        <v>1</v>
      </c>
    </row>
    <row r="337" spans="1:25" s="19" customFormat="1" x14ac:dyDescent="0.25">
      <c r="A337" s="26">
        <v>78</v>
      </c>
      <c r="B337" s="26">
        <v>110</v>
      </c>
      <c r="C337" s="26">
        <v>86</v>
      </c>
      <c r="D337" s="27">
        <v>1.19</v>
      </c>
      <c r="E337" s="26">
        <v>22</v>
      </c>
      <c r="F337" s="26">
        <v>2</v>
      </c>
      <c r="G337" s="27">
        <v>12.3</v>
      </c>
      <c r="H337" s="26">
        <v>142</v>
      </c>
      <c r="I337" s="14">
        <f>H337/A337</f>
        <v>1.8205128205128205</v>
      </c>
      <c r="J337" s="26">
        <v>0</v>
      </c>
      <c r="K337" s="27">
        <v>1</v>
      </c>
      <c r="L337" s="26">
        <v>32</v>
      </c>
      <c r="M337" s="26">
        <v>0</v>
      </c>
      <c r="N337" s="28">
        <v>19.2</v>
      </c>
      <c r="O337" s="14">
        <f>N337/G337</f>
        <v>1.5609756097560974</v>
      </c>
      <c r="P337" s="14">
        <f>N337-G337</f>
        <v>6.8999999999999986</v>
      </c>
      <c r="Q337" s="17">
        <f>IF(F337&lt;2,IF(M337&lt;2,0,1),1)</f>
        <v>1</v>
      </c>
      <c r="R337" s="18">
        <f>K337-D337</f>
        <v>-0.18999999999999995</v>
      </c>
      <c r="S337" s="17">
        <v>1</v>
      </c>
      <c r="T337" s="29">
        <v>1</v>
      </c>
      <c r="U337" s="29">
        <v>1</v>
      </c>
      <c r="V337" s="17">
        <f>SUM(J337,Q337,S337,T337,U337)</f>
        <v>4</v>
      </c>
      <c r="W337" s="17">
        <v>5</v>
      </c>
      <c r="X337" s="17">
        <v>5</v>
      </c>
      <c r="Y337" s="37">
        <v>1</v>
      </c>
    </row>
    <row r="338" spans="1:25" s="19" customFormat="1" ht="12.75" x14ac:dyDescent="0.2">
      <c r="A338" s="26">
        <v>55</v>
      </c>
      <c r="B338" s="26">
        <v>118</v>
      </c>
      <c r="C338" s="26">
        <v>90</v>
      </c>
      <c r="D338" s="27">
        <v>1</v>
      </c>
      <c r="E338" s="26">
        <v>21</v>
      </c>
      <c r="F338" s="26">
        <v>6</v>
      </c>
      <c r="G338" s="27">
        <v>17.399999999999999</v>
      </c>
      <c r="H338" s="26">
        <v>146</v>
      </c>
      <c r="I338" s="14">
        <f>H338/A338</f>
        <v>2.6545454545454548</v>
      </c>
      <c r="J338" s="26">
        <v>0</v>
      </c>
      <c r="K338" s="27">
        <v>1</v>
      </c>
      <c r="L338" s="26">
        <v>27</v>
      </c>
      <c r="M338" s="26">
        <v>5</v>
      </c>
      <c r="N338" s="28">
        <v>18.399999999999999</v>
      </c>
      <c r="O338" s="14">
        <f>N338/G338</f>
        <v>1.0574712643678161</v>
      </c>
      <c r="P338" s="14">
        <f>N338-G338</f>
        <v>1</v>
      </c>
      <c r="Q338" s="17">
        <f>IF(F338&lt;2,IF(M338&lt;2,0,1),1)</f>
        <v>1</v>
      </c>
      <c r="R338" s="18">
        <f>K338-D338</f>
        <v>0</v>
      </c>
      <c r="S338" s="17">
        <f>IF(R338&gt;0.09,1,0)</f>
        <v>0</v>
      </c>
      <c r="T338" s="29">
        <v>0</v>
      </c>
      <c r="U338" s="29">
        <v>1</v>
      </c>
      <c r="V338" s="17">
        <f>SUM(J338,Q338,S338,T338,U338)</f>
        <v>2</v>
      </c>
      <c r="W338" s="17">
        <v>3</v>
      </c>
      <c r="X338" s="17">
        <v>4</v>
      </c>
      <c r="Y338" s="12">
        <v>0</v>
      </c>
    </row>
    <row r="339" spans="1:25" s="19" customFormat="1" x14ac:dyDescent="0.25">
      <c r="A339" s="26">
        <v>63</v>
      </c>
      <c r="B339" s="26">
        <v>151</v>
      </c>
      <c r="C339" s="26">
        <v>98</v>
      </c>
      <c r="D339" s="27">
        <v>1</v>
      </c>
      <c r="E339" s="26">
        <v>19</v>
      </c>
      <c r="F339" s="26">
        <v>2</v>
      </c>
      <c r="G339" s="27">
        <v>14.4</v>
      </c>
      <c r="H339" s="26">
        <v>136</v>
      </c>
      <c r="I339" s="14">
        <f>H339/A339</f>
        <v>2.1587301587301586</v>
      </c>
      <c r="J339" s="26">
        <v>0</v>
      </c>
      <c r="K339" s="27">
        <v>1.1200000000000001</v>
      </c>
      <c r="L339" s="26">
        <v>32</v>
      </c>
      <c r="M339" s="26">
        <v>3</v>
      </c>
      <c r="N339" s="28">
        <v>15.8</v>
      </c>
      <c r="O339" s="14">
        <f>N339/G339</f>
        <v>1.0972222222222223</v>
      </c>
      <c r="P339" s="14">
        <f>N339-G339</f>
        <v>1.4000000000000004</v>
      </c>
      <c r="Q339" s="17">
        <f>IF(F339&lt;2,IF(M339&lt;2,0,1),1)</f>
        <v>1</v>
      </c>
      <c r="R339" s="18">
        <f>K339-D339</f>
        <v>0.12000000000000011</v>
      </c>
      <c r="S339" s="17">
        <f>IF(R339&gt;0.09,1,0)</f>
        <v>1</v>
      </c>
      <c r="T339" s="29">
        <v>1</v>
      </c>
      <c r="U339" s="29">
        <v>1</v>
      </c>
      <c r="V339" s="17">
        <f>SUM(J339,Q339,S339,T339,U339)</f>
        <v>4</v>
      </c>
      <c r="W339" s="17">
        <v>5</v>
      </c>
      <c r="X339" s="17">
        <v>6</v>
      </c>
      <c r="Y339" s="37">
        <v>1</v>
      </c>
    </row>
    <row r="340" spans="1:25" s="19" customFormat="1" ht="12.75" x14ac:dyDescent="0.2">
      <c r="A340" s="26">
        <v>77</v>
      </c>
      <c r="B340" s="26">
        <v>106</v>
      </c>
      <c r="C340" s="26">
        <v>66</v>
      </c>
      <c r="D340" s="27">
        <v>1</v>
      </c>
      <c r="E340" s="26">
        <v>13</v>
      </c>
      <c r="F340" s="26">
        <v>1</v>
      </c>
      <c r="G340" s="27">
        <v>15.4</v>
      </c>
      <c r="H340" s="26">
        <v>129</v>
      </c>
      <c r="I340" s="14">
        <f>H340/A340</f>
        <v>1.6753246753246753</v>
      </c>
      <c r="J340" s="26">
        <v>1</v>
      </c>
      <c r="K340" s="27">
        <v>1</v>
      </c>
      <c r="L340" s="26">
        <v>20</v>
      </c>
      <c r="M340" s="26">
        <v>1</v>
      </c>
      <c r="N340" s="28">
        <v>15.7</v>
      </c>
      <c r="O340" s="14">
        <f>N340/G340</f>
        <v>1.0194805194805194</v>
      </c>
      <c r="P340" s="14">
        <f>N340-G340</f>
        <v>0.29999999999999893</v>
      </c>
      <c r="Q340" s="17">
        <f>IF(F340&lt;2,IF(M340&lt;2,0,1),1)</f>
        <v>0</v>
      </c>
      <c r="R340" s="18">
        <f>K340-D340</f>
        <v>0</v>
      </c>
      <c r="S340" s="17">
        <f>IF(R340&gt;0.09,1,0)</f>
        <v>0</v>
      </c>
      <c r="T340" s="29">
        <v>1</v>
      </c>
      <c r="U340" s="29">
        <v>1</v>
      </c>
      <c r="V340" s="17">
        <f>SUM(J340,Q340,S340,T340,U340)</f>
        <v>3</v>
      </c>
      <c r="W340" s="17">
        <v>4</v>
      </c>
      <c r="X340" s="17">
        <v>4</v>
      </c>
      <c r="Y340" s="12">
        <v>0</v>
      </c>
    </row>
    <row r="341" spans="1:25" s="19" customFormat="1" x14ac:dyDescent="0.25">
      <c r="A341" s="26">
        <v>71</v>
      </c>
      <c r="B341" s="26">
        <v>132</v>
      </c>
      <c r="C341" s="26">
        <v>70</v>
      </c>
      <c r="D341" s="27">
        <v>1</v>
      </c>
      <c r="E341" s="26">
        <v>38</v>
      </c>
      <c r="F341" s="26">
        <v>1</v>
      </c>
      <c r="G341" s="27">
        <v>16.7</v>
      </c>
      <c r="H341" s="26">
        <v>90</v>
      </c>
      <c r="I341" s="14">
        <f>H341/A341</f>
        <v>1.267605633802817</v>
      </c>
      <c r="J341" s="26">
        <v>1</v>
      </c>
      <c r="K341" s="27">
        <v>1</v>
      </c>
      <c r="L341" s="26"/>
      <c r="M341" s="26">
        <v>3</v>
      </c>
      <c r="N341" s="28">
        <v>17.8</v>
      </c>
      <c r="O341" s="14">
        <f>N341/G341</f>
        <v>1.0658682634730541</v>
      </c>
      <c r="P341" s="14">
        <f>N341-G341</f>
        <v>1.1000000000000014</v>
      </c>
      <c r="Q341" s="17">
        <f>IF(F341&lt;2,IF(M341&lt;2,0,1),1)</f>
        <v>1</v>
      </c>
      <c r="R341" s="18">
        <f>K341-D341</f>
        <v>0</v>
      </c>
      <c r="S341" s="17">
        <f>IF(R341&gt;0.09,1,0)</f>
        <v>0</v>
      </c>
      <c r="T341" s="29">
        <v>1</v>
      </c>
      <c r="U341" s="29"/>
      <c r="V341" s="17">
        <f>SUM(J341,Q341,S341,T341,U341)</f>
        <v>3</v>
      </c>
      <c r="W341" s="17">
        <v>3</v>
      </c>
      <c r="X341" s="17">
        <v>3</v>
      </c>
      <c r="Y341" s="37">
        <v>1</v>
      </c>
    </row>
    <row r="342" spans="1:25" s="19" customFormat="1" ht="12.75" x14ac:dyDescent="0.2">
      <c r="A342" s="26">
        <v>53</v>
      </c>
      <c r="B342" s="26">
        <v>112</v>
      </c>
      <c r="C342" s="26">
        <v>82</v>
      </c>
      <c r="D342" s="27">
        <v>1</v>
      </c>
      <c r="E342" s="26"/>
      <c r="F342" s="26">
        <v>0</v>
      </c>
      <c r="G342" s="27">
        <v>8.9</v>
      </c>
      <c r="H342" s="26">
        <v>95</v>
      </c>
      <c r="I342" s="14">
        <f>H342/A342</f>
        <v>1.7924528301886793</v>
      </c>
      <c r="J342" s="26">
        <v>1</v>
      </c>
      <c r="K342" s="27">
        <v>1</v>
      </c>
      <c r="L342" s="26"/>
      <c r="M342" s="26">
        <v>0</v>
      </c>
      <c r="N342" s="28">
        <v>15</v>
      </c>
      <c r="O342" s="14">
        <f>N342/G342</f>
        <v>1.6853932584269662</v>
      </c>
      <c r="P342" s="14">
        <f>N342-G342</f>
        <v>6.1</v>
      </c>
      <c r="Q342" s="17">
        <f>IF(F342&lt;2,IF(M342&lt;2,0,1),1)</f>
        <v>0</v>
      </c>
      <c r="R342" s="18">
        <f>K342-D342</f>
        <v>0</v>
      </c>
      <c r="S342" s="17">
        <f>IF(R342&gt;0.09,1,0)</f>
        <v>0</v>
      </c>
      <c r="T342" s="29">
        <v>1</v>
      </c>
      <c r="U342" s="29"/>
      <c r="V342" s="17">
        <f>SUM(J342,Q342,S342,T342,U342)</f>
        <v>2</v>
      </c>
      <c r="W342" s="17">
        <v>3</v>
      </c>
      <c r="X342" s="17">
        <v>4</v>
      </c>
      <c r="Y342" s="12">
        <v>0</v>
      </c>
    </row>
    <row r="343" spans="1:25" s="19" customFormat="1" ht="12.75" x14ac:dyDescent="0.2">
      <c r="A343" s="26">
        <v>74</v>
      </c>
      <c r="B343" s="26">
        <v>143</v>
      </c>
      <c r="C343" s="26">
        <v>95</v>
      </c>
      <c r="D343" s="27">
        <v>1</v>
      </c>
      <c r="E343" s="26">
        <v>25</v>
      </c>
      <c r="F343" s="26">
        <v>3</v>
      </c>
      <c r="G343" s="27">
        <v>13.2</v>
      </c>
      <c r="H343" s="26">
        <v>146</v>
      </c>
      <c r="I343" s="14">
        <f>H343/A343</f>
        <v>1.972972972972973</v>
      </c>
      <c r="J343" s="26">
        <v>0</v>
      </c>
      <c r="K343" s="27">
        <v>1</v>
      </c>
      <c r="L343" s="26">
        <v>51</v>
      </c>
      <c r="M343" s="26">
        <v>8</v>
      </c>
      <c r="N343" s="28">
        <v>15.9</v>
      </c>
      <c r="O343" s="14">
        <f>N343/G343</f>
        <v>1.2045454545454546</v>
      </c>
      <c r="P343" s="14">
        <f>N343-G343</f>
        <v>2.7000000000000011</v>
      </c>
      <c r="Q343" s="17">
        <f>IF(F343&lt;2,IF(M343&lt;2,0,1),1)</f>
        <v>1</v>
      </c>
      <c r="R343" s="18">
        <f>K343-D343</f>
        <v>0</v>
      </c>
      <c r="S343" s="17">
        <f>IF(R343&gt;0.09,1,0)</f>
        <v>0</v>
      </c>
      <c r="T343" s="29">
        <v>0</v>
      </c>
      <c r="U343" s="29">
        <v>0</v>
      </c>
      <c r="V343" s="17">
        <f>SUM(J343,Q343,S343,T343,U343)</f>
        <v>1</v>
      </c>
      <c r="W343" s="17">
        <v>2</v>
      </c>
      <c r="X343" s="17">
        <v>2</v>
      </c>
      <c r="Y343" s="12">
        <v>0</v>
      </c>
    </row>
    <row r="344" spans="1:25" s="19" customFormat="1" x14ac:dyDescent="0.25">
      <c r="A344" s="26">
        <v>72</v>
      </c>
      <c r="B344" s="26">
        <v>116</v>
      </c>
      <c r="C344" s="26">
        <v>84</v>
      </c>
      <c r="D344" s="27">
        <v>1</v>
      </c>
      <c r="E344" s="26">
        <v>25</v>
      </c>
      <c r="F344" s="26">
        <v>2</v>
      </c>
      <c r="G344" s="27">
        <v>12.7</v>
      </c>
      <c r="H344" s="26">
        <v>141</v>
      </c>
      <c r="I344" s="14">
        <f>H344/A344</f>
        <v>1.9583333333333333</v>
      </c>
      <c r="J344" s="26">
        <v>0</v>
      </c>
      <c r="K344" s="27">
        <v>1</v>
      </c>
      <c r="L344" s="26">
        <v>53</v>
      </c>
      <c r="M344" s="26">
        <v>3</v>
      </c>
      <c r="N344" s="28">
        <v>13.3</v>
      </c>
      <c r="O344" s="14">
        <f>N344/G344</f>
        <v>1.0472440944881891</v>
      </c>
      <c r="P344" s="14">
        <f>N344-G344</f>
        <v>0.60000000000000142</v>
      </c>
      <c r="Q344" s="17">
        <f>IF(F344&lt;2,IF(M344&lt;2,0,1),1)</f>
        <v>1</v>
      </c>
      <c r="R344" s="18">
        <f>K344-D344</f>
        <v>0</v>
      </c>
      <c r="S344" s="17">
        <f>IF(R344&gt;0.09,1,0)</f>
        <v>0</v>
      </c>
      <c r="T344" s="29">
        <v>1</v>
      </c>
      <c r="U344" s="29">
        <v>0</v>
      </c>
      <c r="V344" s="17">
        <f>SUM(J344,Q344,S344,T344,U344)</f>
        <v>2</v>
      </c>
      <c r="W344" s="17">
        <v>2</v>
      </c>
      <c r="X344" s="17">
        <v>2</v>
      </c>
      <c r="Y344" s="37">
        <v>1</v>
      </c>
    </row>
    <row r="345" spans="1:25" s="19" customFormat="1" ht="12.75" x14ac:dyDescent="0.2">
      <c r="A345" s="26">
        <v>71</v>
      </c>
      <c r="B345" s="26">
        <v>116</v>
      </c>
      <c r="C345" s="26">
        <v>83</v>
      </c>
      <c r="D345" s="27">
        <v>1</v>
      </c>
      <c r="E345" s="26">
        <v>22</v>
      </c>
      <c r="F345" s="26">
        <v>0</v>
      </c>
      <c r="G345" s="27">
        <v>14</v>
      </c>
      <c r="H345" s="26">
        <v>130</v>
      </c>
      <c r="I345" s="14">
        <f>H345/A345</f>
        <v>1.8309859154929577</v>
      </c>
      <c r="J345" s="26">
        <v>0</v>
      </c>
      <c r="K345" s="27">
        <v>1</v>
      </c>
      <c r="L345" s="26">
        <v>26</v>
      </c>
      <c r="M345" s="26">
        <v>0</v>
      </c>
      <c r="N345" s="28">
        <v>14.9</v>
      </c>
      <c r="O345" s="14">
        <f>N345/G345</f>
        <v>1.0642857142857143</v>
      </c>
      <c r="P345" s="14">
        <f>N345-G345</f>
        <v>0.90000000000000036</v>
      </c>
      <c r="Q345" s="17">
        <f>IF(F345&lt;2,IF(M345&lt;2,0,1),1)</f>
        <v>0</v>
      </c>
      <c r="R345" s="18">
        <f>K345-D345</f>
        <v>0</v>
      </c>
      <c r="S345" s="17">
        <f>IF(R345&gt;0.09,1,0)</f>
        <v>0</v>
      </c>
      <c r="T345" s="29">
        <v>1</v>
      </c>
      <c r="U345" s="29">
        <v>1</v>
      </c>
      <c r="V345" s="17">
        <f>SUM(J345,Q345,S345,T345,U345)</f>
        <v>2</v>
      </c>
      <c r="W345" s="17">
        <v>2</v>
      </c>
      <c r="X345" s="17">
        <v>2</v>
      </c>
      <c r="Y345" s="12">
        <v>0</v>
      </c>
    </row>
    <row r="346" spans="1:25" s="19" customFormat="1" ht="12.75" x14ac:dyDescent="0.2">
      <c r="A346" s="26">
        <v>59</v>
      </c>
      <c r="B346" s="26">
        <v>113</v>
      </c>
      <c r="C346" s="26">
        <v>81</v>
      </c>
      <c r="D346" s="27">
        <v>1.1200000000000001</v>
      </c>
      <c r="E346" s="26">
        <v>23</v>
      </c>
      <c r="F346" s="26">
        <v>6</v>
      </c>
      <c r="G346" s="27">
        <v>10.6</v>
      </c>
      <c r="H346" s="26">
        <v>106</v>
      </c>
      <c r="I346" s="14">
        <f>H346/A346</f>
        <v>1.7966101694915255</v>
      </c>
      <c r="J346" s="26">
        <v>1</v>
      </c>
      <c r="K346" s="27">
        <v>1.25</v>
      </c>
      <c r="L346" s="26">
        <v>38</v>
      </c>
      <c r="M346" s="26">
        <v>4</v>
      </c>
      <c r="N346" s="28">
        <v>16.2</v>
      </c>
      <c r="O346" s="14">
        <f>N346/G346</f>
        <v>1.5283018867924527</v>
      </c>
      <c r="P346" s="14">
        <f>N346-G346</f>
        <v>5.6</v>
      </c>
      <c r="Q346" s="17">
        <f>IF(F346&lt;2,IF(M346&lt;2,0,1),1)</f>
        <v>1</v>
      </c>
      <c r="R346" s="18">
        <f>K346-D346</f>
        <v>0.12999999999999989</v>
      </c>
      <c r="S346" s="17">
        <f>IF(R346&gt;0.09,1,0)</f>
        <v>1</v>
      </c>
      <c r="T346" s="29">
        <v>1</v>
      </c>
      <c r="U346" s="29">
        <v>1</v>
      </c>
      <c r="V346" s="17">
        <f>SUM(J346,Q346,S346,T346,U346)</f>
        <v>5</v>
      </c>
      <c r="W346" s="17">
        <v>6</v>
      </c>
      <c r="X346" s="17">
        <v>6</v>
      </c>
      <c r="Y346" s="12">
        <v>0</v>
      </c>
    </row>
    <row r="347" spans="1:25" s="19" customFormat="1" ht="12.75" x14ac:dyDescent="0.2">
      <c r="A347" s="26">
        <v>81</v>
      </c>
      <c r="B347" s="26">
        <v>113</v>
      </c>
      <c r="C347" s="26">
        <v>84</v>
      </c>
      <c r="D347" s="27">
        <v>1</v>
      </c>
      <c r="E347" s="26">
        <v>15</v>
      </c>
      <c r="F347" s="26">
        <v>3</v>
      </c>
      <c r="G347" s="27">
        <v>12.5</v>
      </c>
      <c r="H347" s="26">
        <v>137</v>
      </c>
      <c r="I347" s="14">
        <f>H347/A347</f>
        <v>1.691358024691358</v>
      </c>
      <c r="J347" s="26">
        <v>1</v>
      </c>
      <c r="K347" s="27">
        <v>1</v>
      </c>
      <c r="L347" s="26">
        <v>32</v>
      </c>
      <c r="M347" s="26">
        <v>1</v>
      </c>
      <c r="N347" s="28">
        <v>15.7</v>
      </c>
      <c r="O347" s="14">
        <f>N347/G347</f>
        <v>1.256</v>
      </c>
      <c r="P347" s="14">
        <f>N347-G347</f>
        <v>3.1999999999999993</v>
      </c>
      <c r="Q347" s="17">
        <f>IF(F347&lt;2,IF(M347&lt;2,0,1),1)</f>
        <v>1</v>
      </c>
      <c r="R347" s="18">
        <f>K347-D347</f>
        <v>0</v>
      </c>
      <c r="S347" s="17">
        <f>IF(R347&gt;0.09,1,0)</f>
        <v>0</v>
      </c>
      <c r="T347" s="29">
        <v>1</v>
      </c>
      <c r="U347" s="29">
        <v>0</v>
      </c>
      <c r="V347" s="17">
        <f>SUM(J347,Q347,S347,T347,U347)</f>
        <v>3</v>
      </c>
      <c r="W347" s="17">
        <v>4</v>
      </c>
      <c r="X347" s="17">
        <v>4</v>
      </c>
      <c r="Y347" s="12">
        <v>0</v>
      </c>
    </row>
    <row r="348" spans="1:25" s="19" customFormat="1" ht="12.75" x14ac:dyDescent="0.2">
      <c r="A348" s="26">
        <v>70</v>
      </c>
      <c r="B348" s="26">
        <v>127</v>
      </c>
      <c r="C348" s="26">
        <v>83</v>
      </c>
      <c r="D348" s="27">
        <v>1</v>
      </c>
      <c r="E348" s="26">
        <v>23</v>
      </c>
      <c r="F348" s="26">
        <v>0</v>
      </c>
      <c r="G348" s="27">
        <v>14.5</v>
      </c>
      <c r="H348" s="26">
        <v>90</v>
      </c>
      <c r="I348" s="14">
        <f>H348/A348</f>
        <v>1.2857142857142858</v>
      </c>
      <c r="J348" s="26">
        <v>0</v>
      </c>
      <c r="K348" s="27">
        <v>1</v>
      </c>
      <c r="L348" s="26">
        <v>63</v>
      </c>
      <c r="M348" s="26">
        <v>0</v>
      </c>
      <c r="N348" s="28">
        <v>17.3</v>
      </c>
      <c r="O348" s="14">
        <f>N348/G348</f>
        <v>1.193103448275862</v>
      </c>
      <c r="P348" s="14">
        <f>N348-G348</f>
        <v>2.8000000000000007</v>
      </c>
      <c r="Q348" s="17">
        <f>IF(F348&lt;2,IF(M348&lt;2,0,1),1)</f>
        <v>0</v>
      </c>
      <c r="R348" s="18">
        <f>K348-D348</f>
        <v>0</v>
      </c>
      <c r="S348" s="17">
        <f>IF(R348&gt;0.09,1,0)</f>
        <v>0</v>
      </c>
      <c r="T348" s="29">
        <v>1</v>
      </c>
      <c r="U348" s="29">
        <v>0</v>
      </c>
      <c r="V348" s="17">
        <f>SUM(J348,Q348,S348,T348,U348)</f>
        <v>1</v>
      </c>
      <c r="W348" s="17">
        <v>1</v>
      </c>
      <c r="X348" s="17">
        <v>1</v>
      </c>
      <c r="Y348" s="12">
        <v>0</v>
      </c>
    </row>
    <row r="349" spans="1:25" s="25" customFormat="1" ht="12.75" x14ac:dyDescent="0.2">
      <c r="A349" s="30">
        <v>76</v>
      </c>
      <c r="B349" s="30">
        <v>117</v>
      </c>
      <c r="C349" s="30">
        <v>72</v>
      </c>
      <c r="D349" s="24">
        <v>1</v>
      </c>
      <c r="E349" s="30">
        <v>17</v>
      </c>
      <c r="F349" s="30">
        <v>2</v>
      </c>
      <c r="G349" s="24">
        <v>16.5</v>
      </c>
      <c r="H349" s="30">
        <v>104</v>
      </c>
      <c r="I349" s="22">
        <f>H349/A349</f>
        <v>1.368421052631579</v>
      </c>
      <c r="J349" s="30">
        <v>1</v>
      </c>
      <c r="K349" s="24">
        <v>1.19</v>
      </c>
      <c r="L349" s="30">
        <v>36</v>
      </c>
      <c r="M349" s="30">
        <v>2</v>
      </c>
      <c r="N349" s="31">
        <v>19.7</v>
      </c>
      <c r="O349" s="22">
        <f>N349/G349</f>
        <v>1.1939393939393939</v>
      </c>
      <c r="P349" s="22">
        <f>N349-G349</f>
        <v>3.1999999999999993</v>
      </c>
      <c r="Q349" s="21">
        <f>IF(F349&lt;2,IF(M349&lt;2,0,1),1)</f>
        <v>1</v>
      </c>
      <c r="R349" s="24">
        <f>K349-D349</f>
        <v>0.18999999999999995</v>
      </c>
      <c r="S349" s="21">
        <f>IF(R349&gt;0.09,1,0)</f>
        <v>1</v>
      </c>
      <c r="T349" s="30">
        <v>1</v>
      </c>
      <c r="U349" s="30">
        <v>0</v>
      </c>
      <c r="V349" s="21">
        <f>SUM(J349,Q349,S349,T349,U349)</f>
        <v>4</v>
      </c>
      <c r="W349" s="21">
        <v>4</v>
      </c>
      <c r="X349" s="21">
        <v>4</v>
      </c>
      <c r="Y349" s="25">
        <v>1</v>
      </c>
    </row>
    <row r="350" spans="1:25" s="19" customFormat="1" ht="12.75" x14ac:dyDescent="0.2">
      <c r="A350" s="26">
        <v>72</v>
      </c>
      <c r="B350" s="26">
        <v>127</v>
      </c>
      <c r="C350" s="26">
        <v>83</v>
      </c>
      <c r="D350" s="27">
        <v>1</v>
      </c>
      <c r="E350" s="26">
        <v>17</v>
      </c>
      <c r="F350" s="26">
        <v>0</v>
      </c>
      <c r="G350" s="27">
        <v>17</v>
      </c>
      <c r="H350" s="26">
        <v>137</v>
      </c>
      <c r="I350" s="14">
        <f>H350/A350</f>
        <v>1.9027777777777777</v>
      </c>
      <c r="J350" s="26">
        <v>0</v>
      </c>
      <c r="K350" s="27">
        <v>1</v>
      </c>
      <c r="L350" s="26">
        <v>48</v>
      </c>
      <c r="M350" s="26">
        <v>0</v>
      </c>
      <c r="N350" s="28">
        <v>18.7</v>
      </c>
      <c r="O350" s="14">
        <f>N350/G350</f>
        <v>1.0999999999999999</v>
      </c>
      <c r="P350" s="14">
        <f>N350-G350</f>
        <v>1.6999999999999993</v>
      </c>
      <c r="Q350" s="17">
        <f>IF(F350&lt;2,IF(M350&lt;2,0,1),1)</f>
        <v>0</v>
      </c>
      <c r="R350" s="18">
        <f>K350-D350</f>
        <v>0</v>
      </c>
      <c r="S350" s="17">
        <f>IF(R350&gt;0.09,1,0)</f>
        <v>0</v>
      </c>
      <c r="T350" s="29">
        <v>1</v>
      </c>
      <c r="U350" s="29">
        <v>0</v>
      </c>
      <c r="V350" s="17">
        <f>SUM(J350,Q350,S350,T350,U350)</f>
        <v>1</v>
      </c>
      <c r="W350" s="17">
        <v>2</v>
      </c>
      <c r="X350" s="17">
        <v>3</v>
      </c>
    </row>
    <row r="351" spans="1:25" s="19" customFormat="1" ht="12.75" x14ac:dyDescent="0.2">
      <c r="A351" s="26">
        <v>71</v>
      </c>
      <c r="B351" s="26">
        <v>115</v>
      </c>
      <c r="C351" s="26">
        <v>75</v>
      </c>
      <c r="D351" s="27">
        <v>1</v>
      </c>
      <c r="E351" s="26">
        <v>7</v>
      </c>
      <c r="F351" s="26">
        <v>0</v>
      </c>
      <c r="G351" s="27">
        <v>18.100000000000001</v>
      </c>
      <c r="H351" s="26">
        <v>117</v>
      </c>
      <c r="I351" s="14">
        <f>H351/A351</f>
        <v>1.647887323943662</v>
      </c>
      <c r="J351" s="26">
        <v>1</v>
      </c>
      <c r="K351" s="27">
        <v>1.125</v>
      </c>
      <c r="L351" s="26">
        <v>16</v>
      </c>
      <c r="M351" s="26">
        <v>0</v>
      </c>
      <c r="N351" s="28">
        <v>18.399999999999999</v>
      </c>
      <c r="O351" s="14">
        <f>N351/G351</f>
        <v>1.016574585635359</v>
      </c>
      <c r="P351" s="14">
        <f>N351-G351</f>
        <v>0.29999999999999716</v>
      </c>
      <c r="Q351" s="17">
        <f>IF(F351&lt;2,IF(M351&lt;2,0,1),1)</f>
        <v>0</v>
      </c>
      <c r="R351" s="18">
        <f>K351-D351</f>
        <v>0.125</v>
      </c>
      <c r="S351" s="17">
        <f>IF(R351&gt;0.09,1,0)</f>
        <v>1</v>
      </c>
      <c r="T351" s="29">
        <v>1</v>
      </c>
      <c r="U351" s="29">
        <v>0</v>
      </c>
      <c r="V351" s="17">
        <f>SUM(J351,Q351,S351,T351,U351)</f>
        <v>3</v>
      </c>
      <c r="W351" s="17">
        <v>4</v>
      </c>
      <c r="X351" s="17">
        <v>4</v>
      </c>
      <c r="Y351" s="12">
        <v>0</v>
      </c>
    </row>
    <row r="352" spans="1:25" s="19" customFormat="1" ht="12.75" x14ac:dyDescent="0.2">
      <c r="A352" s="26">
        <v>48</v>
      </c>
      <c r="B352" s="26">
        <v>106</v>
      </c>
      <c r="C352" s="26">
        <v>71</v>
      </c>
      <c r="D352" s="27">
        <v>1</v>
      </c>
      <c r="E352" s="26">
        <v>66</v>
      </c>
      <c r="F352" s="26">
        <v>1</v>
      </c>
      <c r="G352" s="27">
        <v>17</v>
      </c>
      <c r="H352" s="26">
        <v>96</v>
      </c>
      <c r="I352" s="14">
        <f>H352/A352</f>
        <v>2</v>
      </c>
      <c r="J352" s="26">
        <v>0</v>
      </c>
      <c r="K352" s="27">
        <v>1.1200000000000001</v>
      </c>
      <c r="L352" s="26">
        <v>86</v>
      </c>
      <c r="M352" s="26">
        <v>3</v>
      </c>
      <c r="N352" s="28">
        <v>20</v>
      </c>
      <c r="O352" s="14">
        <f>N352/G352</f>
        <v>1.1764705882352942</v>
      </c>
      <c r="P352" s="14">
        <f>N352-G352</f>
        <v>3</v>
      </c>
      <c r="Q352" s="17">
        <f>IF(F352&lt;2,IF(M352&lt;2,0,1),1)</f>
        <v>1</v>
      </c>
      <c r="R352" s="18">
        <f>K352-D352</f>
        <v>0.12000000000000011</v>
      </c>
      <c r="S352" s="17">
        <f>IF(R352&gt;0.09,1,0)</f>
        <v>1</v>
      </c>
      <c r="T352" s="29">
        <v>1</v>
      </c>
      <c r="U352" s="29">
        <v>1</v>
      </c>
      <c r="V352" s="17">
        <f>SUM(J352,Q352,S352,T352,U352)</f>
        <v>4</v>
      </c>
      <c r="W352" s="17">
        <v>4</v>
      </c>
      <c r="X352" s="17">
        <v>4</v>
      </c>
      <c r="Y352" s="12">
        <v>0</v>
      </c>
    </row>
    <row r="353" spans="1:25" s="19" customFormat="1" ht="12.75" x14ac:dyDescent="0.2">
      <c r="A353" s="26">
        <v>77</v>
      </c>
      <c r="B353" s="26">
        <v>127</v>
      </c>
      <c r="C353" s="26">
        <v>76</v>
      </c>
      <c r="D353" s="27">
        <v>1.06</v>
      </c>
      <c r="E353" s="26">
        <v>30</v>
      </c>
      <c r="F353" s="26">
        <v>0</v>
      </c>
      <c r="G353" s="27">
        <v>17.899999999999999</v>
      </c>
      <c r="H353" s="26">
        <v>130</v>
      </c>
      <c r="I353" s="14">
        <f>H353/A353</f>
        <v>1.6883116883116882</v>
      </c>
      <c r="J353" s="26">
        <v>1</v>
      </c>
      <c r="K353" s="27">
        <v>1.1200000000000001</v>
      </c>
      <c r="L353" s="26">
        <v>38</v>
      </c>
      <c r="M353" s="26">
        <v>2</v>
      </c>
      <c r="N353" s="28">
        <v>20.2</v>
      </c>
      <c r="O353" s="14">
        <f>N353/G353</f>
        <v>1.1284916201117319</v>
      </c>
      <c r="P353" s="14">
        <f>N353-G353</f>
        <v>2.3000000000000007</v>
      </c>
      <c r="Q353" s="17">
        <f>IF(F353&lt;2,IF(M353&lt;2,0,1),1)</f>
        <v>1</v>
      </c>
      <c r="R353" s="18">
        <f>K353-D353</f>
        <v>6.0000000000000053E-2</v>
      </c>
      <c r="S353" s="17">
        <f>IF(R353&gt;0.09,1,0)</f>
        <v>0</v>
      </c>
      <c r="T353" s="29">
        <v>1</v>
      </c>
      <c r="U353" s="29">
        <v>1</v>
      </c>
      <c r="V353" s="17">
        <f>SUM(J353,Q353,S353,T353,U353)</f>
        <v>4</v>
      </c>
      <c r="W353" s="17">
        <v>5</v>
      </c>
      <c r="X353" s="17">
        <v>6</v>
      </c>
      <c r="Y353" s="12">
        <v>0</v>
      </c>
    </row>
    <row r="354" spans="1:25" s="19" customFormat="1" ht="12.75" x14ac:dyDescent="0.2">
      <c r="A354" s="26">
        <v>72</v>
      </c>
      <c r="B354" s="26">
        <v>116</v>
      </c>
      <c r="C354" s="26">
        <v>59</v>
      </c>
      <c r="D354" s="27">
        <v>1</v>
      </c>
      <c r="E354" s="26"/>
      <c r="F354" s="26">
        <v>4</v>
      </c>
      <c r="G354" s="27">
        <v>17.8</v>
      </c>
      <c r="H354" s="26">
        <v>107</v>
      </c>
      <c r="I354" s="14">
        <f>H354/A354</f>
        <v>1.4861111111111112</v>
      </c>
      <c r="J354" s="26">
        <v>1</v>
      </c>
      <c r="K354" s="27">
        <v>1.1200000000000001</v>
      </c>
      <c r="L354" s="26"/>
      <c r="M354" s="26">
        <v>7</v>
      </c>
      <c r="N354" s="28"/>
      <c r="O354" s="14"/>
      <c r="P354" s="14"/>
      <c r="Q354" s="17">
        <f>IF(F354&lt;2,IF(M354&lt;2,0,1),1)</f>
        <v>1</v>
      </c>
      <c r="R354" s="18">
        <f>K354-D354</f>
        <v>0.12000000000000011</v>
      </c>
      <c r="S354" s="17">
        <f>IF(R354&gt;0.09,1,0)</f>
        <v>1</v>
      </c>
      <c r="T354" s="29">
        <v>0</v>
      </c>
      <c r="U354" s="29"/>
      <c r="V354" s="17">
        <f>SUM(J354,Q354,S354,T354,U354)</f>
        <v>3</v>
      </c>
      <c r="W354" s="17">
        <v>4</v>
      </c>
      <c r="X354" s="17">
        <v>4</v>
      </c>
      <c r="Y354" s="12">
        <v>0</v>
      </c>
    </row>
    <row r="355" spans="1:25" s="19" customFormat="1" ht="12.75" x14ac:dyDescent="0.2">
      <c r="A355" s="26">
        <v>90</v>
      </c>
      <c r="B355" s="26">
        <v>140</v>
      </c>
      <c r="C355" s="26">
        <v>94</v>
      </c>
      <c r="D355" s="27">
        <v>1</v>
      </c>
      <c r="E355" s="26"/>
      <c r="F355" s="26">
        <v>1</v>
      </c>
      <c r="G355" s="27">
        <v>11.9</v>
      </c>
      <c r="H355" s="26">
        <v>153</v>
      </c>
      <c r="I355" s="14">
        <f>H355/A355</f>
        <v>1.7</v>
      </c>
      <c r="J355" s="26">
        <v>1</v>
      </c>
      <c r="K355" s="27">
        <v>1</v>
      </c>
      <c r="L355" s="26"/>
      <c r="M355" s="26">
        <v>5</v>
      </c>
      <c r="N355" s="28">
        <v>12.2</v>
      </c>
      <c r="O355" s="14">
        <f>N355/G355</f>
        <v>1.0252100840336134</v>
      </c>
      <c r="P355" s="14">
        <f>N355-G355</f>
        <v>0.29999999999999893</v>
      </c>
      <c r="Q355" s="17">
        <f>IF(F355&lt;2,IF(M355&lt;2,0,1),1)</f>
        <v>1</v>
      </c>
      <c r="R355" s="18">
        <f>K355-D355</f>
        <v>0</v>
      </c>
      <c r="S355" s="17">
        <f>IF(R355&gt;0.09,1,0)</f>
        <v>0</v>
      </c>
      <c r="T355" s="29">
        <v>1</v>
      </c>
      <c r="U355" s="29"/>
      <c r="V355" s="17">
        <f>SUM(J355,Q355,S355,T355,U355)</f>
        <v>3</v>
      </c>
      <c r="W355" s="17">
        <v>3</v>
      </c>
      <c r="X355" s="17">
        <v>3</v>
      </c>
      <c r="Y355" s="12">
        <v>0</v>
      </c>
    </row>
    <row r="356" spans="1:25" s="19" customFormat="1" ht="12.75" x14ac:dyDescent="0.2">
      <c r="A356" s="26">
        <v>65</v>
      </c>
      <c r="B356" s="26">
        <v>123</v>
      </c>
      <c r="C356" s="26">
        <v>76</v>
      </c>
      <c r="D356" s="27">
        <v>1</v>
      </c>
      <c r="E356" s="26">
        <v>32</v>
      </c>
      <c r="F356" s="26">
        <v>3</v>
      </c>
      <c r="G356" s="27">
        <v>13.6</v>
      </c>
      <c r="H356" s="26">
        <v>129</v>
      </c>
      <c r="I356" s="14">
        <f>H356/A356</f>
        <v>1.9846153846153847</v>
      </c>
      <c r="J356" s="26">
        <v>0</v>
      </c>
      <c r="K356" s="27">
        <v>1</v>
      </c>
      <c r="L356" s="26">
        <v>52</v>
      </c>
      <c r="M356" s="26">
        <v>1</v>
      </c>
      <c r="N356" s="28">
        <v>14.1</v>
      </c>
      <c r="O356" s="14">
        <f>N356/G356</f>
        <v>1.036764705882353</v>
      </c>
      <c r="P356" s="14">
        <f>N356-G356</f>
        <v>0.5</v>
      </c>
      <c r="Q356" s="17">
        <f>IF(F356&lt;2,IF(M356&lt;2,0,1),1)</f>
        <v>1</v>
      </c>
      <c r="R356" s="18">
        <f>K356-D356</f>
        <v>0</v>
      </c>
      <c r="S356" s="17">
        <f>IF(R356&gt;0.09,1,0)</f>
        <v>0</v>
      </c>
      <c r="T356" s="29">
        <v>1</v>
      </c>
      <c r="U356" s="29">
        <v>1</v>
      </c>
      <c r="V356" s="17">
        <f>SUM(J356,Q356,S356,T356,U356)</f>
        <v>3</v>
      </c>
      <c r="W356" s="17">
        <v>4</v>
      </c>
      <c r="X356" s="17">
        <v>4</v>
      </c>
      <c r="Y356" s="12">
        <v>0</v>
      </c>
    </row>
    <row r="357" spans="1:25" s="19" customFormat="1" x14ac:dyDescent="0.25">
      <c r="A357" s="26">
        <v>83</v>
      </c>
      <c r="B357" s="26">
        <v>137</v>
      </c>
      <c r="C357" s="26">
        <v>82</v>
      </c>
      <c r="D357" s="27">
        <v>1</v>
      </c>
      <c r="E357" s="26"/>
      <c r="F357" s="26">
        <v>1</v>
      </c>
      <c r="G357" s="27">
        <v>17.8</v>
      </c>
      <c r="H357" s="26">
        <v>122</v>
      </c>
      <c r="I357" s="14">
        <f>H357/A357</f>
        <v>1.4698795180722892</v>
      </c>
      <c r="J357" s="26">
        <v>1</v>
      </c>
      <c r="K357" s="27">
        <v>1.125</v>
      </c>
      <c r="L357" s="26"/>
      <c r="M357" s="26">
        <v>1</v>
      </c>
      <c r="N357" s="28">
        <v>17.3</v>
      </c>
      <c r="O357" s="14">
        <f>N357/G357</f>
        <v>0.9719101123595506</v>
      </c>
      <c r="P357" s="14">
        <f>N357-G357</f>
        <v>-0.5</v>
      </c>
      <c r="Q357" s="17">
        <f>IF(F357&lt;2,IF(M357&lt;2,0,1),1)</f>
        <v>0</v>
      </c>
      <c r="R357" s="18">
        <f>K357-D357</f>
        <v>0.125</v>
      </c>
      <c r="S357" s="17">
        <f>IF(R357&gt;0.09,1,0)</f>
        <v>1</v>
      </c>
      <c r="T357" s="29">
        <v>1</v>
      </c>
      <c r="U357" s="29"/>
      <c r="V357" s="17">
        <f>SUM(J357,Q357,S357,T357,U357)</f>
        <v>3</v>
      </c>
      <c r="W357" s="17">
        <v>4</v>
      </c>
      <c r="X357" s="17">
        <v>4</v>
      </c>
      <c r="Y357" s="37">
        <v>1</v>
      </c>
    </row>
    <row r="358" spans="1:25" s="19" customFormat="1" ht="12.75" x14ac:dyDescent="0.2">
      <c r="A358" s="26">
        <v>51</v>
      </c>
      <c r="B358" s="26">
        <v>122</v>
      </c>
      <c r="C358" s="26">
        <v>85</v>
      </c>
      <c r="D358" s="27">
        <v>1</v>
      </c>
      <c r="E358" s="26">
        <v>13</v>
      </c>
      <c r="F358" s="26">
        <v>0</v>
      </c>
      <c r="G358" s="27"/>
      <c r="H358" s="26">
        <v>92</v>
      </c>
      <c r="I358" s="14">
        <f>H358/A358</f>
        <v>1.803921568627451</v>
      </c>
      <c r="J358" s="26">
        <v>1</v>
      </c>
      <c r="K358" s="27">
        <v>1.1200000000000001</v>
      </c>
      <c r="L358" s="26">
        <v>22</v>
      </c>
      <c r="M358" s="26">
        <v>4</v>
      </c>
      <c r="N358" s="28"/>
      <c r="O358" s="14"/>
      <c r="P358" s="14"/>
      <c r="Q358" s="17">
        <f>IF(F358&lt;2,IF(M358&lt;2,0,1),1)</f>
        <v>1</v>
      </c>
      <c r="R358" s="18">
        <f>K358-D358</f>
        <v>0.12000000000000011</v>
      </c>
      <c r="S358" s="17">
        <f>IF(R358&gt;0.09,1,0)</f>
        <v>1</v>
      </c>
      <c r="T358" s="29">
        <v>1</v>
      </c>
      <c r="U358" s="29">
        <v>1</v>
      </c>
      <c r="V358" s="17">
        <f>SUM(J358,Q358,S358,T358,U358)</f>
        <v>5</v>
      </c>
      <c r="W358" s="17">
        <v>6</v>
      </c>
      <c r="X358" s="17">
        <v>6</v>
      </c>
      <c r="Y358" s="12">
        <v>0</v>
      </c>
    </row>
    <row r="359" spans="1:25" s="19" customFormat="1" ht="12.75" x14ac:dyDescent="0.2">
      <c r="A359" s="26">
        <v>67</v>
      </c>
      <c r="B359" s="26">
        <v>106</v>
      </c>
      <c r="C359" s="26">
        <v>68</v>
      </c>
      <c r="D359" s="27">
        <v>1</v>
      </c>
      <c r="E359" s="26">
        <v>14</v>
      </c>
      <c r="F359" s="26">
        <v>1</v>
      </c>
      <c r="G359" s="27">
        <v>17.2</v>
      </c>
      <c r="H359" s="26">
        <v>114</v>
      </c>
      <c r="I359" s="14">
        <f>H359/A359</f>
        <v>1.7014925373134329</v>
      </c>
      <c r="J359" s="26">
        <v>1</v>
      </c>
      <c r="K359" s="27">
        <v>1</v>
      </c>
      <c r="L359" s="26">
        <v>78</v>
      </c>
      <c r="M359" s="26">
        <v>1</v>
      </c>
      <c r="N359" s="28">
        <v>17.5</v>
      </c>
      <c r="O359" s="14">
        <f>N359/G359</f>
        <v>1.0174418604651163</v>
      </c>
      <c r="P359" s="14">
        <f>N359-G359</f>
        <v>0.30000000000000071</v>
      </c>
      <c r="Q359" s="17">
        <f>IF(F359&lt;2,IF(M359&lt;2,0,1),1)</f>
        <v>0</v>
      </c>
      <c r="R359" s="18">
        <f>K359-D359</f>
        <v>0</v>
      </c>
      <c r="S359" s="17">
        <f>IF(R359&gt;0.09,1,0)</f>
        <v>0</v>
      </c>
      <c r="T359" s="29">
        <v>1</v>
      </c>
      <c r="U359" s="29">
        <v>0</v>
      </c>
      <c r="V359" s="17">
        <f>SUM(J359,Q359,S359,T359,U359)</f>
        <v>2</v>
      </c>
      <c r="W359" s="17">
        <v>2</v>
      </c>
      <c r="X359" s="17">
        <v>3</v>
      </c>
      <c r="Y359" s="19">
        <v>0</v>
      </c>
    </row>
    <row r="360" spans="1:25" s="19" customFormat="1" ht="12.75" x14ac:dyDescent="0.2">
      <c r="A360" s="26">
        <v>58</v>
      </c>
      <c r="B360" s="26">
        <v>117</v>
      </c>
      <c r="C360" s="26">
        <v>66</v>
      </c>
      <c r="D360" s="27">
        <v>1</v>
      </c>
      <c r="E360" s="26">
        <v>22</v>
      </c>
      <c r="F360" s="26">
        <v>0</v>
      </c>
      <c r="G360" s="27">
        <v>17.399999999999999</v>
      </c>
      <c r="H360" s="26">
        <v>75</v>
      </c>
      <c r="I360" s="14">
        <f>H360/A360</f>
        <v>1.2931034482758621</v>
      </c>
      <c r="J360" s="26">
        <v>0</v>
      </c>
      <c r="K360" s="27">
        <v>1</v>
      </c>
      <c r="L360" s="26">
        <v>44</v>
      </c>
      <c r="M360" s="26">
        <v>1</v>
      </c>
      <c r="N360" s="28">
        <v>16</v>
      </c>
      <c r="O360" s="14">
        <f>N360/G360</f>
        <v>0.91954022988505757</v>
      </c>
      <c r="P360" s="14">
        <f>N360-G360</f>
        <v>-1.3999999999999986</v>
      </c>
      <c r="Q360" s="17">
        <f>IF(F360&lt;2,IF(M360&lt;2,0,1),1)</f>
        <v>0</v>
      </c>
      <c r="R360" s="18">
        <f>K360-D360</f>
        <v>0</v>
      </c>
      <c r="S360" s="17">
        <f>IF(R360&gt;0.09,1,0)</f>
        <v>0</v>
      </c>
      <c r="T360" s="29">
        <v>0</v>
      </c>
      <c r="U360" s="29">
        <v>1</v>
      </c>
      <c r="V360" s="17">
        <f>SUM(J360,Q360,S360,T360,U360)</f>
        <v>1</v>
      </c>
      <c r="W360" s="17">
        <v>1</v>
      </c>
      <c r="X360" s="17">
        <v>1</v>
      </c>
      <c r="Y360" s="12">
        <v>0</v>
      </c>
    </row>
    <row r="361" spans="1:25" s="19" customFormat="1" x14ac:dyDescent="0.25">
      <c r="A361" s="26">
        <v>74</v>
      </c>
      <c r="B361" s="26">
        <v>122</v>
      </c>
      <c r="C361" s="26">
        <v>84</v>
      </c>
      <c r="D361" s="27">
        <v>1</v>
      </c>
      <c r="E361" s="26">
        <v>19</v>
      </c>
      <c r="F361" s="26">
        <v>5</v>
      </c>
      <c r="G361" s="27">
        <v>13.4</v>
      </c>
      <c r="H361" s="26">
        <v>153</v>
      </c>
      <c r="I361" s="14">
        <f>H361/A361</f>
        <v>2.0675675675675675</v>
      </c>
      <c r="J361" s="26">
        <v>0</v>
      </c>
      <c r="K361" s="27">
        <v>1</v>
      </c>
      <c r="L361" s="26">
        <v>41</v>
      </c>
      <c r="M361" s="26">
        <v>4</v>
      </c>
      <c r="N361" s="28">
        <v>12.2</v>
      </c>
      <c r="O361" s="14">
        <f>N361/G361</f>
        <v>0.91044776119402981</v>
      </c>
      <c r="P361" s="14">
        <f>N361-G361</f>
        <v>-1.2000000000000011</v>
      </c>
      <c r="Q361" s="17">
        <f>IF(F361&lt;2,IF(M361&lt;2,0,1),1)</f>
        <v>1</v>
      </c>
      <c r="R361" s="18">
        <f>K361-D361</f>
        <v>0</v>
      </c>
      <c r="S361" s="17">
        <f>IF(R361&gt;0.09,1,0)</f>
        <v>0</v>
      </c>
      <c r="T361" s="29">
        <v>0</v>
      </c>
      <c r="U361" s="29">
        <v>0</v>
      </c>
      <c r="V361" s="17">
        <f>SUM(J361,Q361,S361,T361,U361)</f>
        <v>1</v>
      </c>
      <c r="W361" s="17">
        <v>1</v>
      </c>
      <c r="X361" s="17">
        <v>1</v>
      </c>
      <c r="Y361" s="37"/>
    </row>
    <row r="362" spans="1:25" s="19" customFormat="1" x14ac:dyDescent="0.25">
      <c r="A362" s="26">
        <v>76</v>
      </c>
      <c r="B362" s="26">
        <v>144</v>
      </c>
      <c r="C362" s="26">
        <v>102</v>
      </c>
      <c r="D362" s="27">
        <v>1</v>
      </c>
      <c r="E362" s="26">
        <v>21</v>
      </c>
      <c r="F362" s="26">
        <v>5</v>
      </c>
      <c r="G362" s="27">
        <v>16.399999999999999</v>
      </c>
      <c r="H362" s="26">
        <v>136</v>
      </c>
      <c r="I362" s="14">
        <f>H362/A362</f>
        <v>1.7894736842105263</v>
      </c>
      <c r="J362" s="26">
        <v>1</v>
      </c>
      <c r="K362" s="27">
        <v>1.1200000000000001</v>
      </c>
      <c r="L362" s="26">
        <v>41</v>
      </c>
      <c r="M362" s="26">
        <v>1</v>
      </c>
      <c r="N362" s="28">
        <v>19.100000000000001</v>
      </c>
      <c r="O362" s="14">
        <f>N362/G362</f>
        <v>1.1646341463414636</v>
      </c>
      <c r="P362" s="14">
        <f>N362-G362</f>
        <v>2.7000000000000028</v>
      </c>
      <c r="Q362" s="17">
        <f>IF(F362&lt;2,IF(M362&lt;2,0,1),1)</f>
        <v>1</v>
      </c>
      <c r="R362" s="18">
        <f>K362-D362</f>
        <v>0.12000000000000011</v>
      </c>
      <c r="S362" s="17">
        <f>IF(R362&gt;0.09,1,0)</f>
        <v>1</v>
      </c>
      <c r="T362" s="29">
        <v>1</v>
      </c>
      <c r="U362" s="29">
        <v>1</v>
      </c>
      <c r="V362" s="17">
        <f>SUM(J362,Q362,S362,T362,U362)</f>
        <v>5</v>
      </c>
      <c r="W362" s="17">
        <v>6</v>
      </c>
      <c r="X362" s="17">
        <v>7</v>
      </c>
      <c r="Y362" s="37">
        <v>1</v>
      </c>
    </row>
    <row r="363" spans="1:25" s="19" customFormat="1" ht="12.75" x14ac:dyDescent="0.2">
      <c r="A363" s="26">
        <v>75</v>
      </c>
      <c r="B363" s="26">
        <v>134</v>
      </c>
      <c r="C363" s="26">
        <v>89</v>
      </c>
      <c r="D363" s="27">
        <v>1</v>
      </c>
      <c r="E363" s="26"/>
      <c r="F363" s="26">
        <v>2</v>
      </c>
      <c r="G363" s="27"/>
      <c r="H363" s="26">
        <v>126</v>
      </c>
      <c r="I363" s="14">
        <f>H363/A363</f>
        <v>1.68</v>
      </c>
      <c r="J363" s="26">
        <v>1</v>
      </c>
      <c r="K363" s="27">
        <v>1</v>
      </c>
      <c r="L363" s="26"/>
      <c r="M363" s="26"/>
      <c r="N363" s="28"/>
      <c r="O363" s="14"/>
      <c r="P363" s="14"/>
      <c r="Q363" s="17">
        <f>IF(F363&lt;2,IF(M363&lt;2,0,1),1)</f>
        <v>1</v>
      </c>
      <c r="R363" s="18">
        <f>K363-D363</f>
        <v>0</v>
      </c>
      <c r="S363" s="17">
        <f>IF(R363&gt;0.09,1,0)</f>
        <v>0</v>
      </c>
      <c r="T363" s="29"/>
      <c r="U363" s="29"/>
      <c r="V363" s="17">
        <f>SUM(J363,Q363,S363,T363,U363)</f>
        <v>2</v>
      </c>
      <c r="W363" s="17">
        <v>3</v>
      </c>
      <c r="X363" s="17">
        <v>3</v>
      </c>
      <c r="Y363" s="12">
        <v>0</v>
      </c>
    </row>
    <row r="364" spans="1:25" s="19" customFormat="1" ht="12.75" x14ac:dyDescent="0.2">
      <c r="A364" s="26">
        <v>81</v>
      </c>
      <c r="B364" s="26">
        <v>125</v>
      </c>
      <c r="C364" s="26">
        <v>81</v>
      </c>
      <c r="D364" s="27">
        <v>1.1200000000000001</v>
      </c>
      <c r="E364" s="26">
        <v>32</v>
      </c>
      <c r="F364" s="26">
        <v>5</v>
      </c>
      <c r="G364" s="27">
        <v>11.5</v>
      </c>
      <c r="H364" s="26">
        <v>125</v>
      </c>
      <c r="I364" s="14">
        <f>H364/A364</f>
        <v>1.5432098765432098</v>
      </c>
      <c r="J364" s="26">
        <v>1</v>
      </c>
      <c r="K364" s="27">
        <v>1.25</v>
      </c>
      <c r="L364" s="26">
        <v>60</v>
      </c>
      <c r="M364" s="26"/>
      <c r="N364" s="28">
        <v>18.7</v>
      </c>
      <c r="O364" s="14">
        <f>N364/G364</f>
        <v>1.6260869565217391</v>
      </c>
      <c r="P364" s="14">
        <f>N364-G364</f>
        <v>7.1999999999999993</v>
      </c>
      <c r="Q364" s="17">
        <f>IF(F364&lt;2,IF(M364&lt;2,0,1),1)</f>
        <v>1</v>
      </c>
      <c r="R364" s="18">
        <f>K364-D364</f>
        <v>0.12999999999999989</v>
      </c>
      <c r="S364" s="17">
        <f>IF(R364&gt;0.09,1,0)</f>
        <v>1</v>
      </c>
      <c r="T364" s="29">
        <v>1</v>
      </c>
      <c r="U364" s="29">
        <v>1</v>
      </c>
      <c r="V364" s="17">
        <f>SUM(J364,Q364,S364,T364,U364)</f>
        <v>5</v>
      </c>
      <c r="W364" s="17">
        <v>6</v>
      </c>
      <c r="X364" s="17">
        <v>7</v>
      </c>
      <c r="Y364" s="12">
        <v>0</v>
      </c>
    </row>
    <row r="365" spans="1:25" s="19" customFormat="1" ht="12.75" x14ac:dyDescent="0.2">
      <c r="A365" s="26">
        <v>74</v>
      </c>
      <c r="B365" s="26">
        <v>113</v>
      </c>
      <c r="C365" s="26">
        <v>76</v>
      </c>
      <c r="D365" s="27">
        <v>1</v>
      </c>
      <c r="E365" s="26">
        <v>36</v>
      </c>
      <c r="F365" s="26">
        <v>3</v>
      </c>
      <c r="G365" s="27">
        <v>12.6</v>
      </c>
      <c r="H365" s="26">
        <v>115</v>
      </c>
      <c r="I365" s="14">
        <f>H365/A365</f>
        <v>1.5540540540540539</v>
      </c>
      <c r="J365" s="26">
        <v>1</v>
      </c>
      <c r="K365" s="27">
        <v>1.1200000000000001</v>
      </c>
      <c r="L365" s="26">
        <v>87</v>
      </c>
      <c r="M365" s="26">
        <v>1</v>
      </c>
      <c r="N365" s="28">
        <v>11.6</v>
      </c>
      <c r="O365" s="14">
        <f>N365/G365</f>
        <v>0.92063492063492058</v>
      </c>
      <c r="P365" s="14">
        <f>N365-G365</f>
        <v>-1</v>
      </c>
      <c r="Q365" s="17">
        <f>IF(F365&lt;2,IF(M365&lt;2,0,1),1)</f>
        <v>1</v>
      </c>
      <c r="R365" s="18">
        <f>K365-D365</f>
        <v>0.12000000000000011</v>
      </c>
      <c r="S365" s="17">
        <f>IF(R365&gt;0.09,1,0)</f>
        <v>1</v>
      </c>
      <c r="T365" s="29">
        <v>1</v>
      </c>
      <c r="U365" s="29">
        <v>0</v>
      </c>
      <c r="V365" s="17">
        <f>SUM(J365,Q365,S365,T365,U365)</f>
        <v>4</v>
      </c>
      <c r="W365" s="17">
        <v>4</v>
      </c>
      <c r="X365" s="17">
        <v>4</v>
      </c>
      <c r="Y365" s="12">
        <v>0</v>
      </c>
    </row>
    <row r="366" spans="1:25" s="19" customFormat="1" x14ac:dyDescent="0.25">
      <c r="A366" s="26">
        <v>80</v>
      </c>
      <c r="B366" s="26">
        <v>167</v>
      </c>
      <c r="C366" s="26">
        <v>104</v>
      </c>
      <c r="D366" s="27">
        <v>1.1200000000000001</v>
      </c>
      <c r="E366" s="26">
        <v>71</v>
      </c>
      <c r="F366" s="26">
        <v>2</v>
      </c>
      <c r="G366" s="27">
        <v>15.5</v>
      </c>
      <c r="H366" s="26">
        <v>90</v>
      </c>
      <c r="I366" s="14">
        <f>H366/A366</f>
        <v>1.125</v>
      </c>
      <c r="J366" s="26">
        <v>1</v>
      </c>
      <c r="K366" s="27">
        <v>1</v>
      </c>
      <c r="L366" s="26">
        <v>89</v>
      </c>
      <c r="M366" s="26">
        <v>3</v>
      </c>
      <c r="N366" s="28">
        <v>17.899999999999999</v>
      </c>
      <c r="O366" s="14">
        <f>N366/G366</f>
        <v>1.1548387096774193</v>
      </c>
      <c r="P366" s="14">
        <f>N366-G366</f>
        <v>2.3999999999999986</v>
      </c>
      <c r="Q366" s="17">
        <f>IF(F366&lt;2,IF(M366&lt;2,0,1),1)</f>
        <v>1</v>
      </c>
      <c r="R366" s="18">
        <f>K366-D366</f>
        <v>-0.12000000000000011</v>
      </c>
      <c r="S366" s="17">
        <v>1</v>
      </c>
      <c r="T366" s="29">
        <v>0</v>
      </c>
      <c r="U366" s="29">
        <v>1</v>
      </c>
      <c r="V366" s="17">
        <f>SUM(J366,Q366,S366,T366,U366)</f>
        <v>4</v>
      </c>
      <c r="W366" s="17">
        <v>4</v>
      </c>
      <c r="X366" s="17">
        <v>4</v>
      </c>
      <c r="Y366" s="37">
        <v>1</v>
      </c>
    </row>
    <row r="367" spans="1:25" s="19" customFormat="1" ht="12.75" x14ac:dyDescent="0.2">
      <c r="A367" s="26">
        <v>64</v>
      </c>
      <c r="B367" s="26">
        <v>136</v>
      </c>
      <c r="C367" s="26">
        <v>67</v>
      </c>
      <c r="D367" s="27">
        <v>1</v>
      </c>
      <c r="E367" s="26">
        <v>34</v>
      </c>
      <c r="F367" s="26">
        <v>4</v>
      </c>
      <c r="G367" s="27">
        <v>15.8</v>
      </c>
      <c r="H367" s="26">
        <v>111</v>
      </c>
      <c r="I367" s="14">
        <f>H367/A367</f>
        <v>1.734375</v>
      </c>
      <c r="J367" s="26">
        <v>1</v>
      </c>
      <c r="K367" s="27">
        <v>1.1200000000000001</v>
      </c>
      <c r="L367" s="26">
        <v>66</v>
      </c>
      <c r="M367" s="26">
        <v>8</v>
      </c>
      <c r="N367" s="28">
        <v>17</v>
      </c>
      <c r="O367" s="14">
        <f>N367/G367</f>
        <v>1.0759493670886076</v>
      </c>
      <c r="P367" s="14">
        <f>N367-G367</f>
        <v>1.1999999999999993</v>
      </c>
      <c r="Q367" s="17">
        <f>IF(F367&lt;2,IF(M367&lt;2,0,1),1)</f>
        <v>1</v>
      </c>
      <c r="R367" s="18">
        <f>K367-D367</f>
        <v>0.12000000000000011</v>
      </c>
      <c r="S367" s="17">
        <f>IF(R367&gt;0.09,1,0)</f>
        <v>1</v>
      </c>
      <c r="T367" s="29">
        <v>1</v>
      </c>
      <c r="U367" s="29">
        <v>1</v>
      </c>
      <c r="V367" s="17">
        <f>SUM(J367,Q367,S367,T367,U367)</f>
        <v>5</v>
      </c>
      <c r="W367" s="17">
        <v>6</v>
      </c>
      <c r="X367" s="17">
        <v>6</v>
      </c>
      <c r="Y367" s="12">
        <v>0</v>
      </c>
    </row>
    <row r="368" spans="1:25" s="19" customFormat="1" ht="12.75" x14ac:dyDescent="0.2">
      <c r="A368" s="26">
        <v>64</v>
      </c>
      <c r="B368" s="26">
        <v>115</v>
      </c>
      <c r="C368" s="26">
        <v>69</v>
      </c>
      <c r="D368" s="27">
        <v>1</v>
      </c>
      <c r="E368" s="26">
        <v>10</v>
      </c>
      <c r="F368" s="26">
        <v>4</v>
      </c>
      <c r="G368" s="27">
        <v>14.6</v>
      </c>
      <c r="H368" s="26">
        <v>126</v>
      </c>
      <c r="I368" s="14">
        <f>H368/A368</f>
        <v>1.96875</v>
      </c>
      <c r="J368" s="26">
        <v>0</v>
      </c>
      <c r="K368" s="27">
        <v>1</v>
      </c>
      <c r="L368" s="26">
        <v>42</v>
      </c>
      <c r="M368" s="26">
        <v>3</v>
      </c>
      <c r="N368" s="28">
        <v>17.5</v>
      </c>
      <c r="O368" s="14">
        <f>N368/G368</f>
        <v>1.1986301369863015</v>
      </c>
      <c r="P368" s="14">
        <f>N368-G368</f>
        <v>2.9000000000000004</v>
      </c>
      <c r="Q368" s="17">
        <f>IF(F368&lt;2,IF(M368&lt;2,0,1),1)</f>
        <v>1</v>
      </c>
      <c r="R368" s="18">
        <f>K368-D368</f>
        <v>0</v>
      </c>
      <c r="S368" s="17">
        <f>IF(R368&gt;0.09,1,0)</f>
        <v>0</v>
      </c>
      <c r="T368" s="29">
        <v>1</v>
      </c>
      <c r="U368" s="29">
        <v>0</v>
      </c>
      <c r="V368" s="17">
        <f>SUM(J368,Q368,S368,T368,U368)</f>
        <v>2</v>
      </c>
      <c r="W368" s="17">
        <v>2</v>
      </c>
      <c r="X368" s="17">
        <v>2</v>
      </c>
      <c r="Y368" s="12">
        <v>0</v>
      </c>
    </row>
    <row r="369" spans="1:25" s="19" customFormat="1" ht="12.75" x14ac:dyDescent="0.2">
      <c r="A369" s="26">
        <v>95</v>
      </c>
      <c r="B369" s="26">
        <v>166</v>
      </c>
      <c r="C369" s="26">
        <v>85</v>
      </c>
      <c r="D369" s="27">
        <v>1</v>
      </c>
      <c r="E369" s="26">
        <v>24</v>
      </c>
      <c r="F369" s="26">
        <v>1</v>
      </c>
      <c r="G369" s="27">
        <v>16.5</v>
      </c>
      <c r="H369" s="26">
        <v>139</v>
      </c>
      <c r="I369" s="14">
        <f>H369/A369</f>
        <v>1.4631578947368422</v>
      </c>
      <c r="J369" s="26">
        <v>1</v>
      </c>
      <c r="K369" s="27">
        <v>1</v>
      </c>
      <c r="L369" s="26">
        <v>49</v>
      </c>
      <c r="M369" s="26">
        <v>0</v>
      </c>
      <c r="N369" s="28">
        <v>18.2</v>
      </c>
      <c r="O369" s="14">
        <f>N369/G369</f>
        <v>1.103030303030303</v>
      </c>
      <c r="P369" s="14">
        <f>N369-G369</f>
        <v>1.6999999999999993</v>
      </c>
      <c r="Q369" s="17">
        <f>IF(F369&lt;2,IF(M369&lt;2,0,1),1)</f>
        <v>0</v>
      </c>
      <c r="R369" s="18">
        <f>K369-D369</f>
        <v>0</v>
      </c>
      <c r="S369" s="17">
        <f>IF(R369&gt;0.09,1,0)</f>
        <v>0</v>
      </c>
      <c r="T369" s="29">
        <v>1</v>
      </c>
      <c r="U369" s="29">
        <v>0</v>
      </c>
      <c r="V369" s="17">
        <f>SUM(J369,Q369,S369,T369,U369)</f>
        <v>2</v>
      </c>
      <c r="W369" s="17">
        <v>2</v>
      </c>
      <c r="X369" s="17">
        <v>2</v>
      </c>
      <c r="Y369" s="12">
        <v>0</v>
      </c>
    </row>
    <row r="370" spans="1:25" s="19" customFormat="1" ht="12.75" x14ac:dyDescent="0.2">
      <c r="A370" s="26">
        <v>68</v>
      </c>
      <c r="B370" s="26">
        <v>144</v>
      </c>
      <c r="C370" s="26">
        <v>63</v>
      </c>
      <c r="D370" s="27">
        <v>1</v>
      </c>
      <c r="E370" s="26">
        <v>13</v>
      </c>
      <c r="F370" s="26">
        <v>0</v>
      </c>
      <c r="G370" s="27">
        <v>19.8</v>
      </c>
      <c r="H370" s="26">
        <v>74</v>
      </c>
      <c r="I370" s="14">
        <f>H370/A370</f>
        <v>1.088235294117647</v>
      </c>
      <c r="J370" s="26">
        <v>1</v>
      </c>
      <c r="K370" s="27">
        <v>1</v>
      </c>
      <c r="L370" s="26">
        <v>42</v>
      </c>
      <c r="M370" s="26">
        <v>0</v>
      </c>
      <c r="N370" s="28">
        <v>21.2</v>
      </c>
      <c r="O370" s="14">
        <f>N370/G370</f>
        <v>1.0707070707070707</v>
      </c>
      <c r="P370" s="14">
        <f>N370-G370</f>
        <v>1.3999999999999986</v>
      </c>
      <c r="Q370" s="17">
        <f>IF(F370&lt;2,IF(M370&lt;2,0,1),1)</f>
        <v>0</v>
      </c>
      <c r="R370" s="18">
        <f>K370-D370</f>
        <v>0</v>
      </c>
      <c r="S370" s="17">
        <f>IF(R370&gt;0.09,1,0)</f>
        <v>0</v>
      </c>
      <c r="T370" s="29">
        <v>1</v>
      </c>
      <c r="U370" s="29">
        <v>0</v>
      </c>
      <c r="V370" s="17">
        <f>SUM(J370,Q370,S370,T370,U370)</f>
        <v>2</v>
      </c>
      <c r="W370" s="17">
        <v>2</v>
      </c>
      <c r="X370" s="17">
        <v>2</v>
      </c>
      <c r="Y370" s="12">
        <v>0</v>
      </c>
    </row>
    <row r="371" spans="1:25" s="19" customFormat="1" ht="12.75" x14ac:dyDescent="0.2">
      <c r="A371" s="26">
        <v>61</v>
      </c>
      <c r="B371" s="26">
        <v>133</v>
      </c>
      <c r="C371" s="26">
        <v>99</v>
      </c>
      <c r="D371" s="27">
        <v>1</v>
      </c>
      <c r="E371" s="26">
        <v>50</v>
      </c>
      <c r="F371" s="26">
        <v>1</v>
      </c>
      <c r="G371" s="27">
        <v>16.2</v>
      </c>
      <c r="H371" s="26">
        <v>131</v>
      </c>
      <c r="I371" s="14">
        <f>H371/A371</f>
        <v>2.1475409836065573</v>
      </c>
      <c r="J371" s="26">
        <v>0</v>
      </c>
      <c r="K371" s="27">
        <v>1.1200000000000001</v>
      </c>
      <c r="L371" s="26">
        <v>64</v>
      </c>
      <c r="M371" s="26">
        <v>0</v>
      </c>
      <c r="N371" s="28">
        <v>14.8</v>
      </c>
      <c r="O371" s="14">
        <f>N371/G371</f>
        <v>0.91358024691358031</v>
      </c>
      <c r="P371" s="14">
        <f>N371-G371</f>
        <v>-1.3999999999999986</v>
      </c>
      <c r="Q371" s="17">
        <f>IF(F371&lt;2,IF(M371&lt;2,0,1),1)</f>
        <v>0</v>
      </c>
      <c r="R371" s="18">
        <f>K371-D371</f>
        <v>0.12000000000000011</v>
      </c>
      <c r="S371" s="17">
        <f>IF(R371&gt;0.09,1,0)</f>
        <v>1</v>
      </c>
      <c r="T371" s="29">
        <v>1</v>
      </c>
      <c r="U371" s="29">
        <v>1</v>
      </c>
      <c r="V371" s="17">
        <f>SUM(J371,Q371,S371,T371,U371)</f>
        <v>3</v>
      </c>
      <c r="W371" s="17">
        <v>4</v>
      </c>
      <c r="X371" s="17">
        <v>4</v>
      </c>
      <c r="Y371" s="12">
        <v>0</v>
      </c>
    </row>
    <row r="372" spans="1:25" s="19" customFormat="1" ht="12.75" x14ac:dyDescent="0.2">
      <c r="A372" s="26">
        <v>55</v>
      </c>
      <c r="B372" s="26">
        <v>124</v>
      </c>
      <c r="C372" s="26">
        <v>80</v>
      </c>
      <c r="D372" s="27">
        <v>1.06</v>
      </c>
      <c r="E372" s="26">
        <v>48</v>
      </c>
      <c r="F372" s="26">
        <v>1</v>
      </c>
      <c r="G372" s="27">
        <v>16.100000000000001</v>
      </c>
      <c r="H372" s="26">
        <v>97</v>
      </c>
      <c r="I372" s="14">
        <f>H372/A372</f>
        <v>1.7636363636363637</v>
      </c>
      <c r="J372" s="26">
        <v>1</v>
      </c>
      <c r="K372" s="27">
        <v>1.19</v>
      </c>
      <c r="L372" s="26"/>
      <c r="M372" s="26">
        <v>2</v>
      </c>
      <c r="N372" s="28">
        <v>18.2</v>
      </c>
      <c r="O372" s="14">
        <f>N372/G372</f>
        <v>1.1304347826086956</v>
      </c>
      <c r="P372" s="14">
        <f>N372-G372</f>
        <v>2.0999999999999979</v>
      </c>
      <c r="Q372" s="17">
        <f>IF(F372&lt;2,IF(M372&lt;2,0,1),1)</f>
        <v>1</v>
      </c>
      <c r="R372" s="18">
        <f>K372-D372</f>
        <v>0.12999999999999989</v>
      </c>
      <c r="S372" s="17">
        <f>IF(R372&gt;0.09,1,0)</f>
        <v>1</v>
      </c>
      <c r="T372" s="29">
        <v>1</v>
      </c>
      <c r="U372" s="29"/>
      <c r="V372" s="17">
        <f>SUM(J372,Q372,S372,T372,U372)</f>
        <v>4</v>
      </c>
      <c r="W372" s="17">
        <v>5</v>
      </c>
      <c r="X372" s="17">
        <v>6</v>
      </c>
      <c r="Y372" s="12">
        <v>0</v>
      </c>
    </row>
    <row r="373" spans="1:25" s="19" customFormat="1" ht="12.75" x14ac:dyDescent="0.2">
      <c r="A373" s="26">
        <v>50</v>
      </c>
      <c r="B373" s="26">
        <v>125</v>
      </c>
      <c r="C373" s="26">
        <v>76</v>
      </c>
      <c r="D373" s="27">
        <v>1</v>
      </c>
      <c r="E373" s="26">
        <v>12</v>
      </c>
      <c r="F373" s="26">
        <v>2</v>
      </c>
      <c r="G373" s="27">
        <v>16.899999999999999</v>
      </c>
      <c r="H373" s="26">
        <v>112</v>
      </c>
      <c r="I373" s="14">
        <f>H373/A373</f>
        <v>2.2400000000000002</v>
      </c>
      <c r="J373" s="26">
        <v>0</v>
      </c>
      <c r="K373" s="27">
        <v>1</v>
      </c>
      <c r="L373" s="26">
        <v>32</v>
      </c>
      <c r="M373" s="26">
        <v>2</v>
      </c>
      <c r="N373" s="28">
        <v>22</v>
      </c>
      <c r="O373" s="14">
        <f>N373/G373</f>
        <v>1.3017751479289943</v>
      </c>
      <c r="P373" s="14">
        <f>N373-G373</f>
        <v>5.1000000000000014</v>
      </c>
      <c r="Q373" s="17">
        <f>IF(F373&lt;2,IF(M373&lt;2,0,1),1)</f>
        <v>1</v>
      </c>
      <c r="R373" s="18">
        <f>K373-D373</f>
        <v>0</v>
      </c>
      <c r="S373" s="17">
        <f>IF(R373&gt;0.09,1,0)</f>
        <v>0</v>
      </c>
      <c r="T373" s="29">
        <v>1</v>
      </c>
      <c r="U373" s="29">
        <v>0</v>
      </c>
      <c r="V373" s="17">
        <f>SUM(J373,Q373,S373,T373,U373)</f>
        <v>2</v>
      </c>
      <c r="W373" s="17">
        <v>3</v>
      </c>
      <c r="X373" s="17">
        <v>4</v>
      </c>
      <c r="Y373" s="12">
        <v>0</v>
      </c>
    </row>
    <row r="374" spans="1:25" s="19" customFormat="1" ht="12.75" x14ac:dyDescent="0.2">
      <c r="A374" s="26">
        <v>67</v>
      </c>
      <c r="B374" s="26">
        <v>128</v>
      </c>
      <c r="C374" s="26">
        <v>72</v>
      </c>
      <c r="D374" s="27">
        <v>1</v>
      </c>
      <c r="E374" s="26">
        <v>21</v>
      </c>
      <c r="F374" s="26">
        <v>1</v>
      </c>
      <c r="G374" s="27">
        <v>17</v>
      </c>
      <c r="H374" s="26">
        <v>103</v>
      </c>
      <c r="I374" s="14">
        <f>H374/A374</f>
        <v>1.5373134328358209</v>
      </c>
      <c r="J374" s="26">
        <v>1</v>
      </c>
      <c r="K374" s="27">
        <v>1</v>
      </c>
      <c r="L374" s="26">
        <v>38</v>
      </c>
      <c r="M374" s="26">
        <v>2</v>
      </c>
      <c r="N374" s="28">
        <v>18.2</v>
      </c>
      <c r="O374" s="14">
        <f>N374/G374</f>
        <v>1.0705882352941176</v>
      </c>
      <c r="P374" s="14">
        <f>N374-G374</f>
        <v>1.1999999999999993</v>
      </c>
      <c r="Q374" s="17">
        <f>IF(F374&lt;2,IF(M374&lt;2,0,1),1)</f>
        <v>1</v>
      </c>
      <c r="R374" s="18">
        <f>K374-D374</f>
        <v>0</v>
      </c>
      <c r="S374" s="17">
        <f>IF(R374&gt;0.09,1,0)</f>
        <v>0</v>
      </c>
      <c r="T374" s="29">
        <v>1</v>
      </c>
      <c r="U374" s="29">
        <v>1</v>
      </c>
      <c r="V374" s="17">
        <f>SUM(J374,Q374,S374,T374,U374)</f>
        <v>4</v>
      </c>
      <c r="W374" s="17">
        <v>5</v>
      </c>
      <c r="X374" s="17">
        <v>6</v>
      </c>
      <c r="Y374" s="12">
        <v>0</v>
      </c>
    </row>
    <row r="375" spans="1:25" s="19" customFormat="1" ht="12.75" x14ac:dyDescent="0.2">
      <c r="A375" s="26">
        <v>86</v>
      </c>
      <c r="B375" s="26">
        <v>127</v>
      </c>
      <c r="C375" s="26">
        <v>100</v>
      </c>
      <c r="D375" s="27">
        <v>1</v>
      </c>
      <c r="E375" s="26">
        <v>38</v>
      </c>
      <c r="F375" s="26">
        <v>2</v>
      </c>
      <c r="G375" s="27">
        <v>11.5</v>
      </c>
      <c r="H375" s="26">
        <v>150</v>
      </c>
      <c r="I375" s="14">
        <f>H375/A375</f>
        <v>1.7441860465116279</v>
      </c>
      <c r="J375" s="26">
        <v>1</v>
      </c>
      <c r="K375" s="27">
        <v>1</v>
      </c>
      <c r="L375" s="26">
        <v>63</v>
      </c>
      <c r="M375" s="26">
        <v>2</v>
      </c>
      <c r="N375" s="28">
        <v>15.6</v>
      </c>
      <c r="O375" s="14">
        <f>N375/G375</f>
        <v>1.3565217391304347</v>
      </c>
      <c r="P375" s="14">
        <f>N375-G375</f>
        <v>4.0999999999999996</v>
      </c>
      <c r="Q375" s="17">
        <f>IF(F375&lt;2,IF(M375&lt;2,0,1),1)</f>
        <v>1</v>
      </c>
      <c r="R375" s="18">
        <f>K375-D375</f>
        <v>0</v>
      </c>
      <c r="S375" s="17">
        <f>IF(R375&gt;0.09,1,0)</f>
        <v>0</v>
      </c>
      <c r="T375" s="29">
        <v>0</v>
      </c>
      <c r="U375" s="29">
        <v>1</v>
      </c>
      <c r="V375" s="17">
        <f>SUM(J375,Q375,S375,T375,U375)</f>
        <v>3</v>
      </c>
      <c r="W375" s="17">
        <v>3</v>
      </c>
      <c r="X375" s="17">
        <v>3</v>
      </c>
      <c r="Y375" s="12">
        <v>0</v>
      </c>
    </row>
    <row r="376" spans="1:25" s="19" customFormat="1" ht="12.75" x14ac:dyDescent="0.2">
      <c r="A376" s="26">
        <v>89</v>
      </c>
      <c r="B376" s="26">
        <v>114</v>
      </c>
      <c r="C376" s="26">
        <v>93</v>
      </c>
      <c r="D376" s="27">
        <v>1</v>
      </c>
      <c r="E376" s="26">
        <v>19</v>
      </c>
      <c r="F376" s="26">
        <v>3</v>
      </c>
      <c r="G376" s="27"/>
      <c r="H376" s="26">
        <v>141</v>
      </c>
      <c r="I376" s="14">
        <f>H376/A376</f>
        <v>1.5842696629213484</v>
      </c>
      <c r="J376" s="26">
        <v>1</v>
      </c>
      <c r="K376" s="27">
        <v>1</v>
      </c>
      <c r="L376" s="26">
        <v>46</v>
      </c>
      <c r="M376" s="26">
        <v>2</v>
      </c>
      <c r="N376" s="28"/>
      <c r="O376" s="14"/>
      <c r="P376" s="14"/>
      <c r="Q376" s="17">
        <f>IF(F376&lt;2,IF(M376&lt;2,0,1),1)</f>
        <v>1</v>
      </c>
      <c r="R376" s="18">
        <f>K376-D376</f>
        <v>0</v>
      </c>
      <c r="S376" s="17">
        <f>IF(R376&gt;0.09,1,0)</f>
        <v>0</v>
      </c>
      <c r="T376" s="29">
        <v>1</v>
      </c>
      <c r="U376" s="29">
        <v>0</v>
      </c>
      <c r="V376" s="17">
        <f>SUM(J376,Q376,S376,T376,U376)</f>
        <v>3</v>
      </c>
      <c r="W376" s="17">
        <v>4</v>
      </c>
      <c r="X376" s="17">
        <v>4</v>
      </c>
      <c r="Y376" s="12">
        <v>0</v>
      </c>
    </row>
    <row r="377" spans="1:25" s="19" customFormat="1" ht="12.75" x14ac:dyDescent="0.2">
      <c r="A377" s="26">
        <v>77</v>
      </c>
      <c r="B377" s="26">
        <v>124</v>
      </c>
      <c r="C377" s="26">
        <v>80</v>
      </c>
      <c r="D377" s="27">
        <v>1</v>
      </c>
      <c r="E377" s="26">
        <v>44</v>
      </c>
      <c r="F377" s="26">
        <v>0</v>
      </c>
      <c r="G377" s="27">
        <v>14.5</v>
      </c>
      <c r="H377" s="26">
        <v>157</v>
      </c>
      <c r="I377" s="14">
        <f>H377/A377</f>
        <v>2.0389610389610389</v>
      </c>
      <c r="J377" s="26">
        <v>0</v>
      </c>
      <c r="K377" s="27">
        <v>1</v>
      </c>
      <c r="L377" s="26">
        <v>61</v>
      </c>
      <c r="M377" s="26">
        <v>2</v>
      </c>
      <c r="N377" s="28">
        <v>13</v>
      </c>
      <c r="O377" s="14">
        <f>N377/G377</f>
        <v>0.89655172413793105</v>
      </c>
      <c r="P377" s="14">
        <f>N377-G377</f>
        <v>-1.5</v>
      </c>
      <c r="Q377" s="17">
        <f>IF(F377&lt;2,IF(M377&lt;2,0,1),1)</f>
        <v>1</v>
      </c>
      <c r="R377" s="18">
        <f>K377-D377</f>
        <v>0</v>
      </c>
      <c r="S377" s="17">
        <f>IF(R377&gt;0.09,1,0)</f>
        <v>0</v>
      </c>
      <c r="T377" s="29">
        <v>1</v>
      </c>
      <c r="U377" s="29">
        <v>1</v>
      </c>
      <c r="V377" s="17">
        <f>SUM(J377,Q377,S377,T377,U377)</f>
        <v>3</v>
      </c>
      <c r="W377" s="17">
        <v>4</v>
      </c>
      <c r="X377" s="17">
        <v>5</v>
      </c>
      <c r="Y377" s="12">
        <v>0</v>
      </c>
    </row>
    <row r="378" spans="1:25" s="19" customFormat="1" ht="14.25" customHeight="1" x14ac:dyDescent="0.2">
      <c r="A378" s="32">
        <v>49</v>
      </c>
      <c r="B378" s="32">
        <v>128</v>
      </c>
      <c r="C378" s="32">
        <v>69</v>
      </c>
      <c r="D378" s="33">
        <v>1</v>
      </c>
      <c r="E378" s="32"/>
      <c r="F378" s="32">
        <v>0</v>
      </c>
      <c r="G378" s="33">
        <v>21.2</v>
      </c>
      <c r="H378" s="32">
        <v>129</v>
      </c>
      <c r="I378" s="14">
        <f>H378/A378</f>
        <v>2.6326530612244898</v>
      </c>
      <c r="J378" s="32">
        <v>0</v>
      </c>
      <c r="K378" s="33">
        <v>1</v>
      </c>
      <c r="L378" s="32"/>
      <c r="M378" s="32">
        <v>0</v>
      </c>
      <c r="N378" s="34">
        <v>23</v>
      </c>
      <c r="O378" s="14">
        <f>N378/G378</f>
        <v>1.0849056603773586</v>
      </c>
      <c r="P378" s="14">
        <f>N378-G378</f>
        <v>1.8000000000000007</v>
      </c>
      <c r="Q378" s="17">
        <f>IF(F378&lt;2,IF(M378&lt;2,0,1),1)</f>
        <v>0</v>
      </c>
      <c r="R378" s="18">
        <f>K378-D378</f>
        <v>0</v>
      </c>
      <c r="S378" s="17">
        <f>IF(R378&gt;0.09,1,0)</f>
        <v>0</v>
      </c>
      <c r="T378" s="35">
        <v>1</v>
      </c>
      <c r="U378" s="29"/>
      <c r="V378" s="17">
        <f>SUM(J378,Q378,S378,T378,U378)</f>
        <v>1</v>
      </c>
      <c r="W378" s="17">
        <v>2</v>
      </c>
      <c r="X378" s="17">
        <v>2</v>
      </c>
      <c r="Y378" s="12">
        <v>0</v>
      </c>
    </row>
    <row r="379" spans="1:25" s="19" customFormat="1" ht="14.25" customHeight="1" x14ac:dyDescent="0.25">
      <c r="A379" s="32">
        <v>54</v>
      </c>
      <c r="B379" s="32">
        <v>117</v>
      </c>
      <c r="C379" s="32">
        <v>68</v>
      </c>
      <c r="D379" s="33">
        <v>1</v>
      </c>
      <c r="E379" s="32"/>
      <c r="F379" s="32">
        <v>0</v>
      </c>
      <c r="G379" s="33"/>
      <c r="H379" s="32">
        <v>129</v>
      </c>
      <c r="I379" s="14">
        <f>H379/A379</f>
        <v>2.3888888888888888</v>
      </c>
      <c r="J379" s="32">
        <v>0</v>
      </c>
      <c r="K379" s="33">
        <v>1.1200000000000001</v>
      </c>
      <c r="L379" s="32"/>
      <c r="M379" s="32">
        <v>0</v>
      </c>
      <c r="N379" s="34"/>
      <c r="O379" s="14"/>
      <c r="P379" s="14"/>
      <c r="Q379" s="17">
        <f>IF(F379&lt;2,IF(M379&lt;2,0,1),1)</f>
        <v>0</v>
      </c>
      <c r="R379" s="18">
        <f>K379-D379</f>
        <v>0.12000000000000011</v>
      </c>
      <c r="S379" s="17">
        <f>IF(R379&gt;0.09,1,0)</f>
        <v>1</v>
      </c>
      <c r="T379" s="35">
        <v>0</v>
      </c>
      <c r="U379" s="29"/>
      <c r="V379" s="17">
        <f>SUM(J379,Q379,S379,T379,U379)</f>
        <v>1</v>
      </c>
      <c r="W379" s="17">
        <v>2</v>
      </c>
      <c r="X379" s="17">
        <v>3</v>
      </c>
      <c r="Y379" s="37">
        <v>1</v>
      </c>
    </row>
    <row r="380" spans="1:25" s="19" customFormat="1" ht="14.25" customHeight="1" x14ac:dyDescent="0.25">
      <c r="A380" s="32">
        <v>69</v>
      </c>
      <c r="B380" s="32">
        <v>120</v>
      </c>
      <c r="C380" s="32">
        <v>73</v>
      </c>
      <c r="D380" s="33">
        <v>1.56</v>
      </c>
      <c r="E380" s="32"/>
      <c r="F380" s="32">
        <v>0</v>
      </c>
      <c r="G380" s="33">
        <v>12.7</v>
      </c>
      <c r="H380" s="32">
        <v>104</v>
      </c>
      <c r="I380" s="14">
        <f>H380/A380</f>
        <v>1.5072463768115942</v>
      </c>
      <c r="J380" s="32">
        <v>1</v>
      </c>
      <c r="K380" s="33">
        <v>1.75</v>
      </c>
      <c r="L380" s="32"/>
      <c r="M380" s="32">
        <v>0</v>
      </c>
      <c r="N380" s="34">
        <v>12.6</v>
      </c>
      <c r="O380" s="14">
        <f>N380/G380</f>
        <v>0.99212598425196852</v>
      </c>
      <c r="P380" s="14">
        <f>N380-G380</f>
        <v>-9.9999999999999645E-2</v>
      </c>
      <c r="Q380" s="17">
        <f>IF(F380&lt;2,IF(M380&lt;2,0,1),1)</f>
        <v>0</v>
      </c>
      <c r="R380" s="18">
        <f>K380-D380</f>
        <v>0.18999999999999995</v>
      </c>
      <c r="S380" s="17">
        <f>IF(R380&gt;0.09,1,0)</f>
        <v>1</v>
      </c>
      <c r="T380" s="35">
        <v>1</v>
      </c>
      <c r="U380" s="29"/>
      <c r="V380" s="17">
        <f>SUM(J380,Q380,S380,T380,U380)</f>
        <v>3</v>
      </c>
      <c r="W380" s="17">
        <v>4</v>
      </c>
      <c r="X380" s="17">
        <v>5</v>
      </c>
      <c r="Y380" s="37">
        <v>1</v>
      </c>
    </row>
    <row r="381" spans="1:25" s="19" customFormat="1" ht="14.25" customHeight="1" x14ac:dyDescent="0.2">
      <c r="A381" s="32">
        <v>73</v>
      </c>
      <c r="B381" s="32">
        <v>146</v>
      </c>
      <c r="C381" s="32">
        <v>83</v>
      </c>
      <c r="D381" s="33">
        <v>1</v>
      </c>
      <c r="E381" s="32"/>
      <c r="F381" s="32">
        <v>0</v>
      </c>
      <c r="G381" s="33">
        <v>18.3</v>
      </c>
      <c r="H381" s="32">
        <v>125</v>
      </c>
      <c r="I381" s="14">
        <f>H381/A381</f>
        <v>1.7123287671232876</v>
      </c>
      <c r="J381" s="32">
        <v>1</v>
      </c>
      <c r="K381" s="33">
        <v>1.06</v>
      </c>
      <c r="L381" s="32"/>
      <c r="M381" s="32">
        <v>2</v>
      </c>
      <c r="N381" s="34">
        <v>18.899999999999999</v>
      </c>
      <c r="O381" s="14">
        <f>N381/G381</f>
        <v>1.0327868852459015</v>
      </c>
      <c r="P381" s="14">
        <f>N381-G381</f>
        <v>0.59999999999999787</v>
      </c>
      <c r="Q381" s="17">
        <f>IF(F381&lt;2,IF(M381&lt;2,0,1),1)</f>
        <v>1</v>
      </c>
      <c r="R381" s="18">
        <f>K381-D381</f>
        <v>6.0000000000000053E-2</v>
      </c>
      <c r="S381" s="17">
        <f>IF(R381&gt;0.09,1,0)</f>
        <v>0</v>
      </c>
      <c r="T381" s="35">
        <v>1</v>
      </c>
      <c r="U381" s="29"/>
      <c r="V381" s="17">
        <f>SUM(J381,Q381,S381,T381,U381)</f>
        <v>3</v>
      </c>
      <c r="W381" s="17">
        <v>4</v>
      </c>
      <c r="X381" s="17">
        <v>5</v>
      </c>
      <c r="Y381" s="12">
        <v>0</v>
      </c>
    </row>
    <row r="382" spans="1:25" s="19" customFormat="1" ht="14.25" customHeight="1" x14ac:dyDescent="0.2">
      <c r="A382" s="32">
        <v>65</v>
      </c>
      <c r="B382" s="32">
        <v>140</v>
      </c>
      <c r="C382" s="32">
        <v>69</v>
      </c>
      <c r="D382" s="33">
        <v>1</v>
      </c>
      <c r="E382" s="32"/>
      <c r="F382" s="32">
        <v>0</v>
      </c>
      <c r="G382" s="33">
        <v>24.9</v>
      </c>
      <c r="H382" s="32">
        <v>131</v>
      </c>
      <c r="I382" s="14">
        <f>H382/A382</f>
        <v>2.0153846153846153</v>
      </c>
      <c r="J382" s="32">
        <v>0</v>
      </c>
      <c r="K382" s="33">
        <v>1</v>
      </c>
      <c r="L382" s="32"/>
      <c r="M382" s="32">
        <v>2</v>
      </c>
      <c r="N382" s="34">
        <v>22.8</v>
      </c>
      <c r="O382" s="14">
        <f>N382/G382</f>
        <v>0.9156626506024097</v>
      </c>
      <c r="P382" s="14">
        <f>N382-G382</f>
        <v>-2.0999999999999979</v>
      </c>
      <c r="Q382" s="17">
        <f>IF(F382&lt;2,IF(M382&lt;2,0,1),1)</f>
        <v>1</v>
      </c>
      <c r="R382" s="18">
        <f>K382-D382</f>
        <v>0</v>
      </c>
      <c r="S382" s="17">
        <f>IF(R382&gt;0.09,1,0)</f>
        <v>0</v>
      </c>
      <c r="T382" s="35">
        <v>1</v>
      </c>
      <c r="U382" s="29"/>
      <c r="V382" s="17">
        <f>SUM(J382,Q382,S382,T382,U382)</f>
        <v>2</v>
      </c>
      <c r="W382" s="17">
        <v>3</v>
      </c>
      <c r="X382" s="17">
        <v>4</v>
      </c>
      <c r="Y382" s="12">
        <v>0</v>
      </c>
    </row>
    <row r="383" spans="1:25" s="19" customFormat="1" ht="14.25" customHeight="1" x14ac:dyDescent="0.2">
      <c r="A383" s="32">
        <v>57</v>
      </c>
      <c r="B383" s="32">
        <v>113</v>
      </c>
      <c r="C383" s="32">
        <v>70</v>
      </c>
      <c r="D383" s="33">
        <v>1</v>
      </c>
      <c r="E383" s="32"/>
      <c r="F383" s="32">
        <v>0</v>
      </c>
      <c r="G383" s="33">
        <v>16.899999999999999</v>
      </c>
      <c r="H383" s="32">
        <v>118</v>
      </c>
      <c r="I383" s="14">
        <f>H383/A383</f>
        <v>2.0701754385964914</v>
      </c>
      <c r="J383" s="32">
        <v>0</v>
      </c>
      <c r="K383" s="33">
        <v>1</v>
      </c>
      <c r="L383" s="32"/>
      <c r="M383" s="32">
        <v>2</v>
      </c>
      <c r="N383" s="34">
        <v>19</v>
      </c>
      <c r="O383" s="14">
        <f>N383/G383</f>
        <v>1.124260355029586</v>
      </c>
      <c r="P383" s="14">
        <f>N383-G383</f>
        <v>2.1000000000000014</v>
      </c>
      <c r="Q383" s="17">
        <f>IF(F383&lt;2,IF(M383&lt;2,0,1),1)</f>
        <v>1</v>
      </c>
      <c r="R383" s="18">
        <f>K383-D383</f>
        <v>0</v>
      </c>
      <c r="S383" s="17">
        <f>IF(R383&gt;0.09,1,0)</f>
        <v>0</v>
      </c>
      <c r="T383" s="35">
        <v>0</v>
      </c>
      <c r="U383" s="29"/>
      <c r="V383" s="17">
        <f>SUM(J383,Q383,S383,T383,U383)</f>
        <v>1</v>
      </c>
      <c r="W383" s="17">
        <v>2</v>
      </c>
      <c r="X383" s="17">
        <v>2</v>
      </c>
      <c r="Y383" s="12">
        <v>0</v>
      </c>
    </row>
    <row r="384" spans="1:25" s="19" customFormat="1" ht="14.25" customHeight="1" x14ac:dyDescent="0.25">
      <c r="A384" s="32">
        <v>61</v>
      </c>
      <c r="B384" s="32">
        <v>152</v>
      </c>
      <c r="C384" s="32">
        <v>114</v>
      </c>
      <c r="D384" s="33">
        <v>1</v>
      </c>
      <c r="E384" s="32"/>
      <c r="F384" s="32">
        <v>0</v>
      </c>
      <c r="G384" s="33">
        <v>15.9</v>
      </c>
      <c r="H384" s="32">
        <v>120</v>
      </c>
      <c r="I384" s="14">
        <f>H384/A384</f>
        <v>1.9672131147540983</v>
      </c>
      <c r="J384" s="32">
        <v>0</v>
      </c>
      <c r="K384" s="33">
        <v>1</v>
      </c>
      <c r="L384" s="32"/>
      <c r="M384" s="32">
        <v>0</v>
      </c>
      <c r="N384" s="34">
        <v>18.399999999999999</v>
      </c>
      <c r="O384" s="14">
        <f>N384/G384</f>
        <v>1.1572327044025157</v>
      </c>
      <c r="P384" s="14">
        <f>N384-G384</f>
        <v>2.4999999999999982</v>
      </c>
      <c r="Q384" s="17">
        <f>IF(F384&lt;2,IF(M384&lt;2,0,1),1)</f>
        <v>0</v>
      </c>
      <c r="R384" s="18">
        <f>K384-D384</f>
        <v>0</v>
      </c>
      <c r="S384" s="17">
        <f>IF(R384&gt;0.09,1,0)</f>
        <v>0</v>
      </c>
      <c r="T384" s="35">
        <v>1</v>
      </c>
      <c r="U384" s="29"/>
      <c r="V384" s="17">
        <f>SUM(J384,Q384,S384,T384,U384)</f>
        <v>1</v>
      </c>
      <c r="W384" s="17">
        <v>1</v>
      </c>
      <c r="X384" s="17">
        <v>1</v>
      </c>
      <c r="Y384" s="37">
        <v>0</v>
      </c>
    </row>
    <row r="385" spans="1:25" s="19" customFormat="1" ht="14.25" customHeight="1" x14ac:dyDescent="0.2">
      <c r="A385" s="32">
        <v>83</v>
      </c>
      <c r="B385" s="32">
        <v>162</v>
      </c>
      <c r="C385" s="32">
        <v>82</v>
      </c>
      <c r="D385" s="33">
        <v>1</v>
      </c>
      <c r="E385" s="32"/>
      <c r="F385" s="32">
        <v>2</v>
      </c>
      <c r="G385" s="33">
        <v>21.5</v>
      </c>
      <c r="H385" s="32">
        <v>129</v>
      </c>
      <c r="I385" s="14">
        <f>H385/A385</f>
        <v>1.5542168674698795</v>
      </c>
      <c r="J385" s="32">
        <v>1</v>
      </c>
      <c r="K385" s="33">
        <v>1</v>
      </c>
      <c r="L385" s="32"/>
      <c r="M385" s="32">
        <v>6</v>
      </c>
      <c r="N385" s="34">
        <v>22.9</v>
      </c>
      <c r="O385" s="14">
        <f>N385/G385</f>
        <v>1.0651162790697675</v>
      </c>
      <c r="P385" s="14">
        <f>N385-G385</f>
        <v>1.3999999999999986</v>
      </c>
      <c r="Q385" s="17">
        <f>IF(F385&lt;2,IF(M385&lt;2,0,1),1)</f>
        <v>1</v>
      </c>
      <c r="R385" s="18">
        <f>K385-D385</f>
        <v>0</v>
      </c>
      <c r="S385" s="17">
        <f>IF(R385&gt;0.09,1,0)</f>
        <v>0</v>
      </c>
      <c r="T385" s="35">
        <v>1</v>
      </c>
      <c r="U385" s="29"/>
      <c r="V385" s="17">
        <f>SUM(J385,Q385,S385,T385,U385)</f>
        <v>3</v>
      </c>
      <c r="W385" s="17">
        <v>3</v>
      </c>
      <c r="X385" s="17">
        <v>3</v>
      </c>
      <c r="Y385" s="12">
        <v>0</v>
      </c>
    </row>
    <row r="386" spans="1:25" s="19" customFormat="1" ht="14.25" customHeight="1" x14ac:dyDescent="0.2">
      <c r="A386" s="32">
        <v>82</v>
      </c>
      <c r="B386" s="32">
        <v>122</v>
      </c>
      <c r="C386" s="32">
        <v>97</v>
      </c>
      <c r="D386" s="33">
        <v>1</v>
      </c>
      <c r="E386" s="32"/>
      <c r="F386" s="32">
        <v>0</v>
      </c>
      <c r="G386" s="33">
        <v>20.100000000000001</v>
      </c>
      <c r="H386" s="32">
        <v>137</v>
      </c>
      <c r="I386" s="14">
        <f>H386/A386</f>
        <v>1.6707317073170731</v>
      </c>
      <c r="J386" s="32">
        <v>1</v>
      </c>
      <c r="K386" s="33">
        <v>1</v>
      </c>
      <c r="L386" s="32"/>
      <c r="M386" s="32">
        <v>0</v>
      </c>
      <c r="N386" s="34">
        <v>19</v>
      </c>
      <c r="O386" s="14">
        <f>N386/G386</f>
        <v>0.94527363184079594</v>
      </c>
      <c r="P386" s="14">
        <f>N386-G386</f>
        <v>-1.1000000000000014</v>
      </c>
      <c r="Q386" s="17">
        <f>IF(F386&lt;2,IF(M386&lt;2,0,1),1)</f>
        <v>0</v>
      </c>
      <c r="R386" s="18">
        <f>K386-D386</f>
        <v>0</v>
      </c>
      <c r="S386" s="17">
        <f>IF(R386&gt;0.09,1,0)</f>
        <v>0</v>
      </c>
      <c r="T386" s="35">
        <v>0</v>
      </c>
      <c r="U386" s="29"/>
      <c r="V386" s="17">
        <f>SUM(J386,Q386,S386,T386,U386)</f>
        <v>1</v>
      </c>
      <c r="W386" s="17">
        <v>1</v>
      </c>
      <c r="X386" s="17">
        <v>1</v>
      </c>
      <c r="Y386" s="12">
        <v>0</v>
      </c>
    </row>
    <row r="387" spans="1:25" s="19" customFormat="1" ht="14.25" customHeight="1" x14ac:dyDescent="0.25">
      <c r="A387" s="32">
        <v>81</v>
      </c>
      <c r="B387" s="32">
        <v>145</v>
      </c>
      <c r="C387" s="32">
        <v>79</v>
      </c>
      <c r="D387" s="33">
        <v>1.19</v>
      </c>
      <c r="E387" s="32"/>
      <c r="F387" s="32">
        <v>0</v>
      </c>
      <c r="G387" s="33">
        <v>14</v>
      </c>
      <c r="H387" s="32">
        <v>127</v>
      </c>
      <c r="I387" s="14">
        <f>H387/A387</f>
        <v>1.5679012345679013</v>
      </c>
      <c r="J387" s="32">
        <v>1</v>
      </c>
      <c r="K387" s="33">
        <v>1.31</v>
      </c>
      <c r="L387" s="32"/>
      <c r="M387" s="32">
        <v>3</v>
      </c>
      <c r="N387" s="34">
        <v>11.6</v>
      </c>
      <c r="O387" s="14">
        <f>N387/G387</f>
        <v>0.82857142857142851</v>
      </c>
      <c r="P387" s="14">
        <f>N387-G387</f>
        <v>-2.4000000000000004</v>
      </c>
      <c r="Q387" s="17">
        <f>IF(F387&lt;2,IF(M387&lt;2,0,1),1)</f>
        <v>1</v>
      </c>
      <c r="R387" s="18">
        <f>K387-D387</f>
        <v>0.12000000000000011</v>
      </c>
      <c r="S387" s="17">
        <f>IF(R387&gt;0.09,1,0)</f>
        <v>1</v>
      </c>
      <c r="T387" s="35">
        <v>1</v>
      </c>
      <c r="U387" s="29"/>
      <c r="V387" s="17">
        <f>SUM(J387,Q387,S387,T387,U387)</f>
        <v>4</v>
      </c>
      <c r="W387" s="17">
        <v>4</v>
      </c>
      <c r="X387" s="17">
        <v>5</v>
      </c>
      <c r="Y387" s="37">
        <v>1</v>
      </c>
    </row>
    <row r="388" spans="1:25" s="19" customFormat="1" ht="14.25" customHeight="1" x14ac:dyDescent="0.2">
      <c r="A388" s="32">
        <v>67</v>
      </c>
      <c r="B388" s="32">
        <v>147</v>
      </c>
      <c r="C388" s="32">
        <v>98</v>
      </c>
      <c r="D388" s="33">
        <v>1</v>
      </c>
      <c r="E388" s="32"/>
      <c r="F388" s="32">
        <v>0</v>
      </c>
      <c r="G388" s="33">
        <v>11.6</v>
      </c>
      <c r="H388" s="32">
        <v>118</v>
      </c>
      <c r="I388" s="14">
        <f>H388/A388</f>
        <v>1.7611940298507462</v>
      </c>
      <c r="J388" s="32">
        <v>1</v>
      </c>
      <c r="K388" s="33">
        <v>1</v>
      </c>
      <c r="L388" s="32"/>
      <c r="M388" s="32">
        <v>0</v>
      </c>
      <c r="N388" s="34">
        <v>11.6</v>
      </c>
      <c r="O388" s="14">
        <f>N388/G388</f>
        <v>1</v>
      </c>
      <c r="P388" s="14">
        <f>N388-G388</f>
        <v>0</v>
      </c>
      <c r="Q388" s="17">
        <f>IF(F388&lt;2,IF(M388&lt;2,0,1),1)</f>
        <v>0</v>
      </c>
      <c r="R388" s="18">
        <f>K388-D388</f>
        <v>0</v>
      </c>
      <c r="S388" s="17">
        <f>IF(R388&gt;0.09,1,0)</f>
        <v>0</v>
      </c>
      <c r="T388" s="35">
        <v>1</v>
      </c>
      <c r="U388" s="29"/>
      <c r="V388" s="17">
        <f>SUM(J388,Q388,S388,T388,U388)</f>
        <v>2</v>
      </c>
      <c r="W388" s="17">
        <v>3</v>
      </c>
      <c r="X388" s="17">
        <v>4</v>
      </c>
      <c r="Y388" s="12">
        <v>0</v>
      </c>
    </row>
    <row r="389" spans="1:25" s="19" customFormat="1" ht="14.25" customHeight="1" x14ac:dyDescent="0.25">
      <c r="A389" s="32">
        <v>54</v>
      </c>
      <c r="B389" s="32">
        <v>128</v>
      </c>
      <c r="C389" s="32">
        <v>73</v>
      </c>
      <c r="D389" s="33">
        <v>1</v>
      </c>
      <c r="E389" s="32"/>
      <c r="F389" s="32">
        <v>3</v>
      </c>
      <c r="G389" s="33">
        <v>20.6</v>
      </c>
      <c r="H389" s="32">
        <v>107</v>
      </c>
      <c r="I389" s="14">
        <f>H389/A389</f>
        <v>1.9814814814814814</v>
      </c>
      <c r="J389" s="32">
        <v>0</v>
      </c>
      <c r="K389" s="33">
        <v>1.19</v>
      </c>
      <c r="L389" s="32"/>
      <c r="M389" s="32">
        <v>2</v>
      </c>
      <c r="N389" s="34">
        <v>18.3</v>
      </c>
      <c r="O389" s="14">
        <f>N389/G389</f>
        <v>0.88834951456310673</v>
      </c>
      <c r="P389" s="14">
        <f>N389-G389</f>
        <v>-2.3000000000000007</v>
      </c>
      <c r="Q389" s="17">
        <f>IF(F389&lt;2,IF(M389&lt;2,0,1),1)</f>
        <v>1</v>
      </c>
      <c r="R389" s="18">
        <f>K389-D389</f>
        <v>0.18999999999999995</v>
      </c>
      <c r="S389" s="17">
        <f>IF(R389&gt;0.09,1,0)</f>
        <v>1</v>
      </c>
      <c r="T389" s="35">
        <v>1</v>
      </c>
      <c r="U389" s="29"/>
      <c r="V389" s="17">
        <f>SUM(J389,Q389,S389,T389,U389)</f>
        <v>3</v>
      </c>
      <c r="W389" s="17">
        <v>4</v>
      </c>
      <c r="X389" s="17">
        <v>5</v>
      </c>
      <c r="Y389" s="37">
        <v>1</v>
      </c>
    </row>
    <row r="390" spans="1:25" s="19" customFormat="1" ht="14.25" customHeight="1" x14ac:dyDescent="0.25">
      <c r="A390" s="32">
        <v>75</v>
      </c>
      <c r="B390" s="32">
        <v>128</v>
      </c>
      <c r="C390" s="32">
        <v>93</v>
      </c>
      <c r="D390" s="33">
        <v>1</v>
      </c>
      <c r="E390" s="32"/>
      <c r="F390" s="32">
        <v>0</v>
      </c>
      <c r="G390" s="33"/>
      <c r="H390" s="32">
        <v>136</v>
      </c>
      <c r="I390" s="14">
        <f>H390/A390</f>
        <v>1.8133333333333332</v>
      </c>
      <c r="J390" s="32">
        <v>0</v>
      </c>
      <c r="K390" s="33">
        <v>1.1200000000000001</v>
      </c>
      <c r="L390" s="32"/>
      <c r="M390" s="32">
        <v>0</v>
      </c>
      <c r="N390" s="34"/>
      <c r="O390" s="14"/>
      <c r="P390" s="14"/>
      <c r="Q390" s="17">
        <f>IF(F390&lt;2,IF(M390&lt;2,0,1),1)</f>
        <v>0</v>
      </c>
      <c r="R390" s="18">
        <f>K390-D390</f>
        <v>0.12000000000000011</v>
      </c>
      <c r="S390" s="17">
        <f>IF(R390&gt;0.09,1,0)</f>
        <v>1</v>
      </c>
      <c r="T390" s="35">
        <v>1</v>
      </c>
      <c r="U390" s="29"/>
      <c r="V390" s="17">
        <f>SUM(J390,Q390,S390,T390,U390)</f>
        <v>2</v>
      </c>
      <c r="W390" s="17">
        <v>3</v>
      </c>
      <c r="X390" s="17">
        <v>4</v>
      </c>
      <c r="Y390" s="37">
        <v>1</v>
      </c>
    </row>
    <row r="391" spans="1:25" s="19" customFormat="1" ht="14.25" customHeight="1" x14ac:dyDescent="0.25">
      <c r="A391" s="32">
        <v>58</v>
      </c>
      <c r="B391" s="32">
        <v>120</v>
      </c>
      <c r="C391" s="32">
        <v>78</v>
      </c>
      <c r="D391" s="33">
        <v>1</v>
      </c>
      <c r="E391" s="32"/>
      <c r="F391" s="32">
        <v>0</v>
      </c>
      <c r="G391" s="33">
        <v>21.4</v>
      </c>
      <c r="H391" s="32">
        <v>137</v>
      </c>
      <c r="I391" s="14">
        <f>H391/A391</f>
        <v>2.3620689655172415</v>
      </c>
      <c r="J391" s="32">
        <v>0</v>
      </c>
      <c r="K391" s="33">
        <v>1</v>
      </c>
      <c r="L391" s="32"/>
      <c r="M391" s="32">
        <v>0</v>
      </c>
      <c r="N391" s="34">
        <v>19</v>
      </c>
      <c r="O391" s="14">
        <f>N391/G391</f>
        <v>0.88785046728971972</v>
      </c>
      <c r="P391" s="14">
        <f>N391-G391</f>
        <v>-2.3999999999999986</v>
      </c>
      <c r="Q391" s="17">
        <f>IF(F391&lt;2,IF(M391&lt;2,0,1),1)</f>
        <v>0</v>
      </c>
      <c r="R391" s="18">
        <f>K391-D391</f>
        <v>0</v>
      </c>
      <c r="S391" s="17">
        <f>IF(R391&gt;0.09,1,0)</f>
        <v>0</v>
      </c>
      <c r="T391" s="35">
        <v>0</v>
      </c>
      <c r="U391" s="29"/>
      <c r="V391" s="17">
        <f>SUM(J391,Q391,S391,T391,U391)</f>
        <v>0</v>
      </c>
      <c r="W391" s="17">
        <v>0</v>
      </c>
      <c r="X391" s="17">
        <v>0</v>
      </c>
      <c r="Y391" s="37">
        <v>1</v>
      </c>
    </row>
    <row r="392" spans="1:25" s="19" customFormat="1" ht="14.25" customHeight="1" x14ac:dyDescent="0.2">
      <c r="A392" s="32">
        <v>73</v>
      </c>
      <c r="B392" s="32">
        <v>125</v>
      </c>
      <c r="C392" s="32">
        <v>68</v>
      </c>
      <c r="D392" s="33">
        <v>1</v>
      </c>
      <c r="E392" s="32"/>
      <c r="F392" s="32">
        <v>0</v>
      </c>
      <c r="G392" s="33">
        <v>21.7</v>
      </c>
      <c r="H392" s="32">
        <v>120</v>
      </c>
      <c r="I392" s="14">
        <f>H392/A392</f>
        <v>1.6438356164383561</v>
      </c>
      <c r="J392" s="32">
        <v>1</v>
      </c>
      <c r="K392" s="33">
        <v>1</v>
      </c>
      <c r="L392" s="32"/>
      <c r="M392" s="32">
        <v>0</v>
      </c>
      <c r="N392" s="34">
        <v>22.3</v>
      </c>
      <c r="O392" s="14">
        <f>N392/G392</f>
        <v>1.0276497695852536</v>
      </c>
      <c r="P392" s="14">
        <f>N392-G392</f>
        <v>0.60000000000000142</v>
      </c>
      <c r="Q392" s="17">
        <f>IF(F392&lt;2,IF(M392&lt;2,0,1),1)</f>
        <v>0</v>
      </c>
      <c r="R392" s="18">
        <f>K392-D392</f>
        <v>0</v>
      </c>
      <c r="S392" s="17">
        <f>IF(R392&gt;0.09,1,0)</f>
        <v>0</v>
      </c>
      <c r="T392" s="35">
        <v>1</v>
      </c>
      <c r="U392" s="29"/>
      <c r="V392" s="17">
        <f>SUM(J392,Q392,S392,T392,U392)</f>
        <v>2</v>
      </c>
      <c r="W392" s="17">
        <v>2</v>
      </c>
      <c r="X392" s="17">
        <v>2</v>
      </c>
      <c r="Y392" s="12">
        <v>0</v>
      </c>
    </row>
    <row r="393" spans="1:25" s="19" customFormat="1" ht="14.25" customHeight="1" x14ac:dyDescent="0.2">
      <c r="A393" s="32">
        <v>75</v>
      </c>
      <c r="B393" s="32">
        <v>145</v>
      </c>
      <c r="C393" s="32">
        <v>101</v>
      </c>
      <c r="D393" s="33">
        <v>1</v>
      </c>
      <c r="E393" s="32"/>
      <c r="F393" s="32">
        <v>0</v>
      </c>
      <c r="G393" s="33">
        <v>11.7</v>
      </c>
      <c r="H393" s="32">
        <v>139</v>
      </c>
      <c r="I393" s="14">
        <f>H393/A393</f>
        <v>1.8533333333333333</v>
      </c>
      <c r="J393" s="32">
        <v>0</v>
      </c>
      <c r="K393" s="33">
        <v>1.06</v>
      </c>
      <c r="L393" s="32"/>
      <c r="M393" s="32">
        <v>0</v>
      </c>
      <c r="N393" s="34">
        <v>13.2</v>
      </c>
      <c r="O393" s="14">
        <f>N393/G393</f>
        <v>1.1282051282051282</v>
      </c>
      <c r="P393" s="14">
        <f>N393-G393</f>
        <v>1.5</v>
      </c>
      <c r="Q393" s="17">
        <f>IF(F393&lt;2,IF(M393&lt;2,0,1),1)</f>
        <v>0</v>
      </c>
      <c r="R393" s="18">
        <f>K393-D393</f>
        <v>6.0000000000000053E-2</v>
      </c>
      <c r="S393" s="17">
        <f>IF(R393&gt;0.09,1,0)</f>
        <v>0</v>
      </c>
      <c r="T393" s="35">
        <v>1</v>
      </c>
      <c r="U393" s="29"/>
      <c r="V393" s="17">
        <f>SUM(J393,Q393,S393,T393,U393)</f>
        <v>1</v>
      </c>
      <c r="W393" s="17">
        <v>2</v>
      </c>
      <c r="X393" s="17">
        <v>3</v>
      </c>
      <c r="Y393" s="12">
        <v>0</v>
      </c>
    </row>
    <row r="394" spans="1:25" s="19" customFormat="1" ht="14.25" customHeight="1" x14ac:dyDescent="0.25">
      <c r="A394" s="32">
        <v>71</v>
      </c>
      <c r="B394" s="32">
        <v>129</v>
      </c>
      <c r="C394" s="32">
        <v>79</v>
      </c>
      <c r="D394" s="33">
        <v>1</v>
      </c>
      <c r="E394" s="32"/>
      <c r="F394" s="32">
        <v>0</v>
      </c>
      <c r="G394" s="33">
        <v>14</v>
      </c>
      <c r="H394" s="32">
        <v>146</v>
      </c>
      <c r="I394" s="14">
        <f>H394/A394</f>
        <v>2.056338028169014</v>
      </c>
      <c r="J394" s="32">
        <v>0</v>
      </c>
      <c r="K394" s="33">
        <v>1</v>
      </c>
      <c r="L394" s="32"/>
      <c r="M394" s="32">
        <v>0</v>
      </c>
      <c r="N394" s="34">
        <v>13.8</v>
      </c>
      <c r="O394" s="14">
        <f>N394/G394</f>
        <v>0.98571428571428577</v>
      </c>
      <c r="P394" s="14">
        <f>N394-G394</f>
        <v>-0.19999999999999929</v>
      </c>
      <c r="Q394" s="17">
        <f>IF(F394&lt;2,IF(M394&lt;2,0,1),1)</f>
        <v>0</v>
      </c>
      <c r="R394" s="18">
        <f>K394-D394</f>
        <v>0</v>
      </c>
      <c r="S394" s="17">
        <f>IF(R394&gt;0.09,1,0)</f>
        <v>0</v>
      </c>
      <c r="T394" s="35">
        <v>0</v>
      </c>
      <c r="U394" s="29"/>
      <c r="V394" s="17">
        <f>SUM(J394,Q394,S394,T394,U394)</f>
        <v>0</v>
      </c>
      <c r="W394" s="17">
        <v>0</v>
      </c>
      <c r="X394" s="17">
        <v>0</v>
      </c>
      <c r="Y394" s="37">
        <v>0</v>
      </c>
    </row>
    <row r="395" spans="1:25" s="19" customFormat="1" ht="14.25" customHeight="1" x14ac:dyDescent="0.25">
      <c r="A395" s="32">
        <v>70</v>
      </c>
      <c r="B395" s="32">
        <v>126</v>
      </c>
      <c r="C395" s="32">
        <v>86</v>
      </c>
      <c r="D395" s="33">
        <v>1</v>
      </c>
      <c r="E395" s="32"/>
      <c r="F395" s="32">
        <v>0</v>
      </c>
      <c r="G395" s="33">
        <v>18.7</v>
      </c>
      <c r="H395" s="32">
        <v>129</v>
      </c>
      <c r="I395" s="14">
        <f>H395/A395</f>
        <v>1.8428571428571427</v>
      </c>
      <c r="J395" s="32">
        <v>0</v>
      </c>
      <c r="K395" s="33">
        <v>1</v>
      </c>
      <c r="L395" s="32"/>
      <c r="M395" s="32">
        <v>0</v>
      </c>
      <c r="N395" s="34">
        <v>19</v>
      </c>
      <c r="O395" s="14">
        <f>N395/G395</f>
        <v>1.0160427807486632</v>
      </c>
      <c r="P395" s="14">
        <f>N395-G395</f>
        <v>0.30000000000000071</v>
      </c>
      <c r="Q395" s="17">
        <f>IF(F395&lt;2,IF(M395&lt;2,0,1),1)</f>
        <v>0</v>
      </c>
      <c r="R395" s="18">
        <f>K395-D395</f>
        <v>0</v>
      </c>
      <c r="S395" s="17">
        <f>IF(R395&gt;0.09,1,0)</f>
        <v>0</v>
      </c>
      <c r="T395" s="35">
        <v>0</v>
      </c>
      <c r="U395" s="29"/>
      <c r="V395" s="17">
        <f>SUM(J395,Q395,S395,T395,U395)</f>
        <v>0</v>
      </c>
      <c r="W395" s="17">
        <v>1</v>
      </c>
      <c r="X395" s="17">
        <v>2</v>
      </c>
      <c r="Y395" s="37">
        <v>0</v>
      </c>
    </row>
    <row r="396" spans="1:25" s="19" customFormat="1" ht="14.25" customHeight="1" x14ac:dyDescent="0.25">
      <c r="A396" s="32">
        <v>71</v>
      </c>
      <c r="B396" s="32">
        <v>128</v>
      </c>
      <c r="C396" s="32">
        <v>90</v>
      </c>
      <c r="D396" s="33">
        <v>1</v>
      </c>
      <c r="E396" s="32"/>
      <c r="F396" s="32">
        <v>1</v>
      </c>
      <c r="G396" s="33">
        <v>20.3</v>
      </c>
      <c r="H396" s="32">
        <v>141</v>
      </c>
      <c r="I396" s="14">
        <f>H396/A396</f>
        <v>1.9859154929577465</v>
      </c>
      <c r="J396" s="32">
        <v>0</v>
      </c>
      <c r="K396" s="33">
        <v>1</v>
      </c>
      <c r="L396" s="32"/>
      <c r="M396" s="32">
        <v>0</v>
      </c>
      <c r="N396" s="34">
        <v>20.7</v>
      </c>
      <c r="O396" s="14">
        <f>N396/G396</f>
        <v>1.0197044334975369</v>
      </c>
      <c r="P396" s="14">
        <f>N396-G396</f>
        <v>0.39999999999999858</v>
      </c>
      <c r="Q396" s="17">
        <f>IF(F396&lt;2,IF(M396&lt;2,0,1),1)</f>
        <v>0</v>
      </c>
      <c r="R396" s="18">
        <f>K396-D396</f>
        <v>0</v>
      </c>
      <c r="S396" s="17">
        <f>IF(R396&gt;0.09,1,0)</f>
        <v>0</v>
      </c>
      <c r="T396" s="35">
        <v>0</v>
      </c>
      <c r="U396" s="29"/>
      <c r="V396" s="17">
        <f>SUM(J396,Q396,S396,T396,U396)</f>
        <v>0</v>
      </c>
      <c r="W396" s="17">
        <v>1</v>
      </c>
      <c r="X396" s="17">
        <v>1</v>
      </c>
      <c r="Y396" s="37">
        <v>0</v>
      </c>
    </row>
    <row r="397" spans="1:25" s="47" customFormat="1" ht="14.25" customHeight="1" x14ac:dyDescent="0.25">
      <c r="A397" s="44">
        <v>90</v>
      </c>
      <c r="B397" s="44">
        <v>130</v>
      </c>
      <c r="C397" s="44">
        <v>79</v>
      </c>
      <c r="D397" s="46">
        <v>1</v>
      </c>
      <c r="E397" s="44"/>
      <c r="F397" s="44">
        <v>0</v>
      </c>
      <c r="G397" s="46">
        <v>20.2</v>
      </c>
      <c r="H397" s="44">
        <v>135</v>
      </c>
      <c r="I397" s="45">
        <f>H397/A397</f>
        <v>1.5</v>
      </c>
      <c r="J397" s="44">
        <v>1</v>
      </c>
      <c r="K397" s="46">
        <v>1.1200000000000001</v>
      </c>
      <c r="L397" s="44"/>
      <c r="M397" s="44">
        <v>0</v>
      </c>
      <c r="N397" s="48">
        <v>17.899999999999999</v>
      </c>
      <c r="O397" s="45">
        <f>N397/G397</f>
        <v>0.88613861386138615</v>
      </c>
      <c r="P397" s="45">
        <f>N397-G397</f>
        <v>-2.3000000000000007</v>
      </c>
      <c r="Q397" s="49">
        <f>IF(F397&lt;2,IF(M397&lt;2,0,1),1)</f>
        <v>0</v>
      </c>
      <c r="R397" s="50">
        <f>K397-D397</f>
        <v>0.12000000000000011</v>
      </c>
      <c r="S397" s="49">
        <f>IF(R397&gt;0.09,1,0)</f>
        <v>1</v>
      </c>
      <c r="T397" s="51">
        <v>1</v>
      </c>
      <c r="U397" s="52"/>
      <c r="V397" s="49">
        <f>SUM(J397,Q397,S397,T397,U397)</f>
        <v>3</v>
      </c>
      <c r="W397" s="49">
        <v>4</v>
      </c>
      <c r="X397" s="49">
        <v>4</v>
      </c>
      <c r="Y397" s="43">
        <v>0</v>
      </c>
    </row>
    <row r="398" spans="1:25" s="19" customFormat="1" ht="14.25" customHeight="1" x14ac:dyDescent="0.25">
      <c r="A398" s="32">
        <v>57</v>
      </c>
      <c r="B398" s="32">
        <v>122</v>
      </c>
      <c r="C398" s="32">
        <v>82</v>
      </c>
      <c r="D398" s="33">
        <v>1.19</v>
      </c>
      <c r="E398" s="32"/>
      <c r="F398" s="32">
        <v>0</v>
      </c>
      <c r="G398" s="33">
        <v>17.399999999999999</v>
      </c>
      <c r="H398" s="32">
        <v>105</v>
      </c>
      <c r="I398" s="14">
        <f>H398/A398</f>
        <v>1.8421052631578947</v>
      </c>
      <c r="J398" s="32">
        <v>0</v>
      </c>
      <c r="K398" s="33">
        <v>1.5</v>
      </c>
      <c r="L398" s="32"/>
      <c r="M398" s="32">
        <v>0</v>
      </c>
      <c r="N398" s="34">
        <v>13.6</v>
      </c>
      <c r="O398" s="14">
        <f>N398/G398</f>
        <v>0.7816091954022989</v>
      </c>
      <c r="P398" s="14">
        <f>N398-G398</f>
        <v>-3.7999999999999989</v>
      </c>
      <c r="Q398" s="17">
        <f>IF(F398&lt;2,IF(M398&lt;2,0,1),1)</f>
        <v>0</v>
      </c>
      <c r="R398" s="18">
        <f>K398-D398</f>
        <v>0.31000000000000005</v>
      </c>
      <c r="S398" s="17">
        <f>IF(R398&gt;0.09,1,0)</f>
        <v>1</v>
      </c>
      <c r="T398" s="35">
        <v>1</v>
      </c>
      <c r="U398" s="29"/>
      <c r="V398" s="17">
        <f>SUM(J398,Q398,S398,T398,U398)</f>
        <v>2</v>
      </c>
      <c r="W398" s="17">
        <v>2</v>
      </c>
      <c r="X398" s="17">
        <v>3</v>
      </c>
      <c r="Y398" s="37">
        <v>0</v>
      </c>
    </row>
    <row r="399" spans="1:25" s="19" customFormat="1" ht="14.25" customHeight="1" x14ac:dyDescent="0.25">
      <c r="A399" s="32">
        <v>71</v>
      </c>
      <c r="B399" s="32">
        <v>124</v>
      </c>
      <c r="C399" s="32">
        <v>75</v>
      </c>
      <c r="D399" s="33">
        <v>1.19</v>
      </c>
      <c r="E399" s="32"/>
      <c r="F399" s="32">
        <v>0</v>
      </c>
      <c r="G399" s="33">
        <v>15.2</v>
      </c>
      <c r="H399" s="32">
        <v>134</v>
      </c>
      <c r="I399" s="14">
        <f>H399/A399</f>
        <v>1.8873239436619718</v>
      </c>
      <c r="J399" s="32">
        <v>0</v>
      </c>
      <c r="K399" s="33">
        <v>1.75</v>
      </c>
      <c r="L399" s="32"/>
      <c r="M399" s="32">
        <v>4</v>
      </c>
      <c r="N399" s="34">
        <v>15.6</v>
      </c>
      <c r="O399" s="14">
        <f>N399/G399</f>
        <v>1.0263157894736843</v>
      </c>
      <c r="P399" s="14">
        <f>N399-G399</f>
        <v>0.40000000000000036</v>
      </c>
      <c r="Q399" s="17">
        <f>IF(F399&lt;2,IF(M399&lt;2,0,1),1)</f>
        <v>1</v>
      </c>
      <c r="R399" s="18">
        <f>K399-D399</f>
        <v>0.56000000000000005</v>
      </c>
      <c r="S399" s="17">
        <f>IF(R399&gt;0.09,1,0)</f>
        <v>1</v>
      </c>
      <c r="T399" s="35">
        <v>1</v>
      </c>
      <c r="U399" s="29"/>
      <c r="V399" s="17">
        <f>SUM(J399,Q399,S399,T399,U399)</f>
        <v>3</v>
      </c>
      <c r="W399" s="17">
        <v>4</v>
      </c>
      <c r="X399" s="17">
        <v>5</v>
      </c>
      <c r="Y399" s="37">
        <v>1</v>
      </c>
    </row>
    <row r="400" spans="1:25" s="19" customFormat="1" ht="14.25" customHeight="1" x14ac:dyDescent="0.25">
      <c r="A400" s="32">
        <v>57</v>
      </c>
      <c r="B400" s="32">
        <v>132</v>
      </c>
      <c r="C400" s="32">
        <v>76</v>
      </c>
      <c r="D400" s="33">
        <v>1.31</v>
      </c>
      <c r="E400" s="32"/>
      <c r="F400" s="32">
        <v>3</v>
      </c>
      <c r="G400" s="33">
        <v>14.8</v>
      </c>
      <c r="H400" s="32">
        <v>131</v>
      </c>
      <c r="I400" s="14">
        <f>H400/A400</f>
        <v>2.2982456140350878</v>
      </c>
      <c r="J400" s="32">
        <v>0</v>
      </c>
      <c r="K400" s="33">
        <v>1.44</v>
      </c>
      <c r="L400" s="32"/>
      <c r="M400" s="32">
        <v>8</v>
      </c>
      <c r="N400" s="34">
        <v>10.199999999999999</v>
      </c>
      <c r="O400" s="14">
        <f>N400/G400</f>
        <v>0.68918918918918914</v>
      </c>
      <c r="P400" s="14">
        <f>N400-G400</f>
        <v>-4.6000000000000014</v>
      </c>
      <c r="Q400" s="17">
        <f>IF(F400&lt;2,IF(M400&lt;2,0,1),1)</f>
        <v>1</v>
      </c>
      <c r="R400" s="18">
        <f>K400-D400</f>
        <v>0.12999999999999989</v>
      </c>
      <c r="S400" s="17">
        <f>IF(R400&gt;0.09,1,0)</f>
        <v>1</v>
      </c>
      <c r="T400" s="35">
        <v>1</v>
      </c>
      <c r="U400" s="29"/>
      <c r="V400" s="17">
        <f>SUM(J400,Q400,S400,T400,U400)</f>
        <v>3</v>
      </c>
      <c r="W400" s="17">
        <v>4</v>
      </c>
      <c r="X400" s="17">
        <v>5</v>
      </c>
      <c r="Y400" s="37">
        <v>0</v>
      </c>
    </row>
    <row r="401" spans="1:25" s="19" customFormat="1" ht="14.25" customHeight="1" x14ac:dyDescent="0.25">
      <c r="A401" s="32">
        <v>99</v>
      </c>
      <c r="B401" s="32">
        <v>125</v>
      </c>
      <c r="C401" s="32">
        <v>91</v>
      </c>
      <c r="D401" s="33">
        <v>1</v>
      </c>
      <c r="E401" s="32"/>
      <c r="F401" s="32">
        <v>0</v>
      </c>
      <c r="G401" s="33">
        <v>8</v>
      </c>
      <c r="H401" s="32">
        <v>162</v>
      </c>
      <c r="I401" s="14">
        <f>H401/A401</f>
        <v>1.6363636363636365</v>
      </c>
      <c r="J401" s="32">
        <v>1</v>
      </c>
      <c r="K401" s="33">
        <v>1</v>
      </c>
      <c r="L401" s="32"/>
      <c r="M401" s="32">
        <v>2</v>
      </c>
      <c r="N401" s="34">
        <v>11.3</v>
      </c>
      <c r="O401" s="14">
        <f>N401/G401</f>
        <v>1.4125000000000001</v>
      </c>
      <c r="P401" s="14">
        <f>N401-G401</f>
        <v>3.3000000000000007</v>
      </c>
      <c r="Q401" s="17">
        <f>IF(F401&lt;2,IF(M401&lt;2,0,1),1)</f>
        <v>1</v>
      </c>
      <c r="R401" s="18">
        <f>K401-D401</f>
        <v>0</v>
      </c>
      <c r="S401" s="17">
        <f>IF(R401&gt;0.09,1,0)</f>
        <v>0</v>
      </c>
      <c r="T401" s="35">
        <v>1</v>
      </c>
      <c r="U401" s="29"/>
      <c r="V401" s="17">
        <f>SUM(J401,Q401,S401,T401,U401)</f>
        <v>3</v>
      </c>
      <c r="W401" s="17">
        <v>3</v>
      </c>
      <c r="X401" s="17">
        <v>3</v>
      </c>
      <c r="Y401" s="37"/>
    </row>
    <row r="402" spans="1:25" s="19" customFormat="1" ht="14.25" customHeight="1" x14ac:dyDescent="0.25">
      <c r="A402" s="32">
        <v>62</v>
      </c>
      <c r="B402" s="32">
        <v>110</v>
      </c>
      <c r="C402" s="32">
        <v>72</v>
      </c>
      <c r="D402" s="33">
        <v>1</v>
      </c>
      <c r="E402" s="32"/>
      <c r="F402" s="32">
        <v>0</v>
      </c>
      <c r="G402" s="33">
        <v>12.3</v>
      </c>
      <c r="H402" s="32">
        <v>125</v>
      </c>
      <c r="I402" s="14">
        <f>H402/A402</f>
        <v>2.0161290322580645</v>
      </c>
      <c r="J402" s="32">
        <v>0</v>
      </c>
      <c r="K402" s="33">
        <v>1</v>
      </c>
      <c r="L402" s="32"/>
      <c r="M402" s="32">
        <v>0</v>
      </c>
      <c r="N402" s="34">
        <v>13</v>
      </c>
      <c r="O402" s="14">
        <f>N402/G402</f>
        <v>1.056910569105691</v>
      </c>
      <c r="P402" s="14">
        <f>N402-G402</f>
        <v>0.69999999999999929</v>
      </c>
      <c r="Q402" s="17">
        <f>IF(F402&lt;2,IF(M402&lt;2,0,1),1)</f>
        <v>0</v>
      </c>
      <c r="R402" s="18">
        <f>K402-D402</f>
        <v>0</v>
      </c>
      <c r="S402" s="17">
        <f>IF(R402&gt;0.09,1,0)</f>
        <v>0</v>
      </c>
      <c r="T402" s="35">
        <v>1</v>
      </c>
      <c r="U402" s="29"/>
      <c r="V402" s="17">
        <f>SUM(J402,Q402,S402,T402,U402)</f>
        <v>1</v>
      </c>
      <c r="W402" s="17">
        <v>1</v>
      </c>
      <c r="X402" s="17">
        <v>1</v>
      </c>
      <c r="Y402" s="37">
        <v>0</v>
      </c>
    </row>
    <row r="403" spans="1:25" s="19" customFormat="1" ht="14.25" customHeight="1" x14ac:dyDescent="0.25">
      <c r="A403" s="32">
        <v>66</v>
      </c>
      <c r="B403" s="32">
        <v>122</v>
      </c>
      <c r="C403" s="32">
        <v>81</v>
      </c>
      <c r="D403" s="33">
        <v>1</v>
      </c>
      <c r="E403" s="32"/>
      <c r="F403" s="32">
        <v>0</v>
      </c>
      <c r="G403" s="33">
        <v>16.8</v>
      </c>
      <c r="H403" s="32">
        <v>150</v>
      </c>
      <c r="I403" s="14">
        <f>H403/A403</f>
        <v>2.2727272727272729</v>
      </c>
      <c r="J403" s="32">
        <v>0</v>
      </c>
      <c r="K403" s="33">
        <v>1</v>
      </c>
      <c r="L403" s="32"/>
      <c r="M403" s="32">
        <v>0</v>
      </c>
      <c r="N403" s="34">
        <v>16.3</v>
      </c>
      <c r="O403" s="14">
        <f>N403/G403</f>
        <v>0.97023809523809523</v>
      </c>
      <c r="P403" s="14">
        <f>N403-G403</f>
        <v>-0.5</v>
      </c>
      <c r="Q403" s="17">
        <f>IF(F403&lt;2,IF(M403&lt;2,0,1),1)</f>
        <v>0</v>
      </c>
      <c r="R403" s="18">
        <f>K403-D403</f>
        <v>0</v>
      </c>
      <c r="S403" s="17">
        <f>IF(R403&gt;0.09,1,0)</f>
        <v>0</v>
      </c>
      <c r="T403" s="35">
        <v>1</v>
      </c>
      <c r="U403" s="29"/>
      <c r="V403" s="17">
        <f>SUM(J403,Q403,S403,T403,U403)</f>
        <v>1</v>
      </c>
      <c r="W403" s="17">
        <v>2</v>
      </c>
      <c r="X403" s="17">
        <v>3</v>
      </c>
      <c r="Y403" s="37">
        <v>0</v>
      </c>
    </row>
    <row r="404" spans="1:25" s="19" customFormat="1" ht="14.25" customHeight="1" x14ac:dyDescent="0.25">
      <c r="A404" s="32">
        <v>73</v>
      </c>
      <c r="B404" s="32">
        <v>126</v>
      </c>
      <c r="C404" s="32">
        <v>91</v>
      </c>
      <c r="D404" s="33">
        <v>1</v>
      </c>
      <c r="E404" s="32"/>
      <c r="F404" s="32">
        <v>3</v>
      </c>
      <c r="G404" s="33">
        <v>16.8</v>
      </c>
      <c r="H404" s="32">
        <v>122</v>
      </c>
      <c r="I404" s="14">
        <f>H404/A404</f>
        <v>1.6712328767123288</v>
      </c>
      <c r="J404" s="32">
        <v>1</v>
      </c>
      <c r="K404" s="33">
        <v>1</v>
      </c>
      <c r="L404" s="32"/>
      <c r="M404" s="32">
        <v>4</v>
      </c>
      <c r="N404" s="34">
        <v>19.100000000000001</v>
      </c>
      <c r="O404" s="14">
        <f>N404/G404</f>
        <v>1.1369047619047619</v>
      </c>
      <c r="P404" s="14">
        <f>N404-G404</f>
        <v>2.3000000000000007</v>
      </c>
      <c r="Q404" s="17">
        <f>IF(F404&lt;2,IF(M404&lt;2,0,1),1)</f>
        <v>1</v>
      </c>
      <c r="R404" s="18">
        <f>K404-D404</f>
        <v>0</v>
      </c>
      <c r="S404" s="17">
        <f>IF(R404&gt;0.09,1,0)</f>
        <v>0</v>
      </c>
      <c r="T404" s="35">
        <v>0</v>
      </c>
      <c r="U404" s="29"/>
      <c r="V404" s="17">
        <f>SUM(J404,Q404,S404,T404,U404)</f>
        <v>2</v>
      </c>
      <c r="W404" s="17">
        <v>2</v>
      </c>
      <c r="X404" s="17">
        <v>3</v>
      </c>
      <c r="Y404" s="37">
        <v>0</v>
      </c>
    </row>
    <row r="405" spans="1:25" s="19" customFormat="1" ht="14.25" customHeight="1" x14ac:dyDescent="0.25">
      <c r="A405" s="32">
        <v>63</v>
      </c>
      <c r="B405" s="32">
        <v>128</v>
      </c>
      <c r="C405" s="32">
        <v>72</v>
      </c>
      <c r="D405" s="33">
        <v>1.25</v>
      </c>
      <c r="E405" s="32"/>
      <c r="F405" s="32">
        <v>0</v>
      </c>
      <c r="G405" s="33">
        <v>17</v>
      </c>
      <c r="H405" s="32">
        <v>133</v>
      </c>
      <c r="I405" s="14">
        <f>H405/A405</f>
        <v>2.1111111111111112</v>
      </c>
      <c r="J405" s="32">
        <v>0</v>
      </c>
      <c r="K405" s="33">
        <v>1.25</v>
      </c>
      <c r="L405" s="32"/>
      <c r="M405" s="32">
        <v>0</v>
      </c>
      <c r="N405" s="34">
        <v>12.5</v>
      </c>
      <c r="O405" s="14">
        <f>N405/G405</f>
        <v>0.73529411764705888</v>
      </c>
      <c r="P405" s="14">
        <f>N405-G405</f>
        <v>-4.5</v>
      </c>
      <c r="Q405" s="17">
        <f>IF(F405&lt;2,IF(M405&lt;2,0,1),1)</f>
        <v>0</v>
      </c>
      <c r="R405" s="18">
        <f>K405-D405</f>
        <v>0</v>
      </c>
      <c r="S405" s="17">
        <f>IF(R405&gt;0.09,1,0)</f>
        <v>0</v>
      </c>
      <c r="T405" s="35">
        <v>0</v>
      </c>
      <c r="U405" s="29"/>
      <c r="V405" s="17">
        <f>SUM(J405,Q405,S405,T405,U405)</f>
        <v>0</v>
      </c>
      <c r="W405" s="17">
        <v>0</v>
      </c>
      <c r="X405" s="17">
        <v>1</v>
      </c>
      <c r="Y405" s="37">
        <v>0</v>
      </c>
    </row>
    <row r="406" spans="1:25" s="19" customFormat="1" ht="14.25" customHeight="1" x14ac:dyDescent="0.25">
      <c r="A406" s="32">
        <v>67</v>
      </c>
      <c r="B406" s="32">
        <v>141</v>
      </c>
      <c r="C406" s="32">
        <v>91</v>
      </c>
      <c r="D406" s="33">
        <v>1</v>
      </c>
      <c r="E406" s="32"/>
      <c r="F406" s="32">
        <v>0</v>
      </c>
      <c r="G406" s="33">
        <v>14.6</v>
      </c>
      <c r="H406" s="32">
        <v>151</v>
      </c>
      <c r="I406" s="14">
        <f>H406/A406</f>
        <v>2.2537313432835822</v>
      </c>
      <c r="J406" s="32">
        <v>0</v>
      </c>
      <c r="K406" s="33">
        <v>1</v>
      </c>
      <c r="L406" s="32"/>
      <c r="M406" s="32">
        <v>0</v>
      </c>
      <c r="N406" s="34"/>
      <c r="O406" s="14"/>
      <c r="P406" s="14"/>
      <c r="Q406" s="17">
        <f>IF(F406&lt;2,IF(M406&lt;2,0,1),1)</f>
        <v>0</v>
      </c>
      <c r="R406" s="18">
        <f>K406-D406</f>
        <v>0</v>
      </c>
      <c r="S406" s="17">
        <f>IF(R406&gt;0.09,1,0)</f>
        <v>0</v>
      </c>
      <c r="T406" s="35">
        <v>0</v>
      </c>
      <c r="U406" s="29"/>
      <c r="V406" s="17">
        <f>SUM(J406,Q406,S406,T406,U406)</f>
        <v>0</v>
      </c>
      <c r="W406" s="17">
        <v>1</v>
      </c>
      <c r="X406" s="17">
        <v>1</v>
      </c>
      <c r="Y406" s="37">
        <v>0</v>
      </c>
    </row>
    <row r="407" spans="1:25" s="19" customFormat="1" ht="14.25" customHeight="1" x14ac:dyDescent="0.25">
      <c r="A407" s="32">
        <v>56</v>
      </c>
      <c r="B407" s="32">
        <v>154</v>
      </c>
      <c r="C407" s="32">
        <v>98</v>
      </c>
      <c r="D407" s="33">
        <v>1</v>
      </c>
      <c r="E407" s="32"/>
      <c r="F407" s="32">
        <v>0</v>
      </c>
      <c r="G407" s="33">
        <v>16</v>
      </c>
      <c r="H407" s="32">
        <v>118</v>
      </c>
      <c r="I407" s="14">
        <f>H407/A407</f>
        <v>2.1071428571428572</v>
      </c>
      <c r="J407" s="32">
        <v>0</v>
      </c>
      <c r="K407" s="33">
        <v>1</v>
      </c>
      <c r="L407" s="32"/>
      <c r="M407" s="32">
        <v>0</v>
      </c>
      <c r="N407" s="34">
        <v>13.4</v>
      </c>
      <c r="O407" s="14">
        <f>N407/G407</f>
        <v>0.83750000000000002</v>
      </c>
      <c r="P407" s="14">
        <f>N407-G407</f>
        <v>-2.5999999999999996</v>
      </c>
      <c r="Q407" s="17">
        <f>IF(F407&lt;2,IF(M407&lt;2,0,1),1)</f>
        <v>0</v>
      </c>
      <c r="R407" s="18">
        <f>K407-D407</f>
        <v>0</v>
      </c>
      <c r="S407" s="17">
        <f>IF(R407&gt;0.09,1,0)</f>
        <v>0</v>
      </c>
      <c r="T407" s="35">
        <v>1</v>
      </c>
      <c r="U407" s="29"/>
      <c r="V407" s="17">
        <f>SUM(J407,Q407,S407,T407,U407)</f>
        <v>1</v>
      </c>
      <c r="W407" s="17">
        <v>2</v>
      </c>
      <c r="X407" s="17">
        <v>3</v>
      </c>
      <c r="Y407" s="37">
        <v>0</v>
      </c>
    </row>
    <row r="408" spans="1:25" s="19" customFormat="1" ht="14.25" customHeight="1" x14ac:dyDescent="0.25">
      <c r="A408" s="32">
        <v>61</v>
      </c>
      <c r="B408" s="32">
        <v>119</v>
      </c>
      <c r="C408" s="32">
        <v>77</v>
      </c>
      <c r="D408" s="33">
        <v>1</v>
      </c>
      <c r="E408" s="32"/>
      <c r="F408" s="32">
        <v>0</v>
      </c>
      <c r="G408" s="33">
        <v>19</v>
      </c>
      <c r="H408" s="32">
        <v>139</v>
      </c>
      <c r="I408" s="14">
        <f>H408/A408</f>
        <v>2.278688524590164</v>
      </c>
      <c r="J408" s="32">
        <v>0</v>
      </c>
      <c r="K408" s="33">
        <v>1</v>
      </c>
      <c r="L408" s="32"/>
      <c r="M408" s="32">
        <v>0</v>
      </c>
      <c r="N408" s="34">
        <v>27.1</v>
      </c>
      <c r="O408" s="14">
        <f>N408/G408</f>
        <v>1.4263157894736842</v>
      </c>
      <c r="P408" s="14">
        <f>N408-G408</f>
        <v>8.1000000000000014</v>
      </c>
      <c r="Q408" s="17">
        <f>IF(F408&lt;2,IF(M408&lt;2,0,1),1)</f>
        <v>0</v>
      </c>
      <c r="R408" s="18">
        <f>K408-D408</f>
        <v>0</v>
      </c>
      <c r="S408" s="17">
        <f>IF(R408&gt;0.09,1,0)</f>
        <v>0</v>
      </c>
      <c r="T408" s="35">
        <v>1</v>
      </c>
      <c r="U408" s="29"/>
      <c r="V408" s="17">
        <f>SUM(J408,Q408,S408,T408,U408)</f>
        <v>1</v>
      </c>
      <c r="W408" s="17">
        <v>2</v>
      </c>
      <c r="X408" s="17">
        <v>2</v>
      </c>
      <c r="Y408" s="37">
        <v>0</v>
      </c>
    </row>
    <row r="409" spans="1:25" s="19" customFormat="1" ht="14.25" customHeight="1" x14ac:dyDescent="0.25">
      <c r="A409" s="32">
        <v>66</v>
      </c>
      <c r="B409" s="32">
        <v>115</v>
      </c>
      <c r="C409" s="32">
        <v>64</v>
      </c>
      <c r="D409" s="33">
        <v>1</v>
      </c>
      <c r="E409" s="32"/>
      <c r="F409" s="32">
        <v>0</v>
      </c>
      <c r="G409" s="33">
        <v>20.9</v>
      </c>
      <c r="H409" s="32">
        <v>131</v>
      </c>
      <c r="I409" s="14">
        <f>H409/A409</f>
        <v>1.9848484848484849</v>
      </c>
      <c r="J409" s="32">
        <v>0</v>
      </c>
      <c r="K409" s="33">
        <v>1</v>
      </c>
      <c r="L409" s="32"/>
      <c r="M409" s="32">
        <v>0</v>
      </c>
      <c r="N409" s="34">
        <v>21.4</v>
      </c>
      <c r="O409" s="14">
        <f>N409/G409</f>
        <v>1.0239234449760766</v>
      </c>
      <c r="P409" s="14">
        <f>N409-G409</f>
        <v>0.5</v>
      </c>
      <c r="Q409" s="17">
        <f>IF(F409&lt;2,IF(M409&lt;2,0,1),1)</f>
        <v>0</v>
      </c>
      <c r="R409" s="18">
        <f>K409-D409</f>
        <v>0</v>
      </c>
      <c r="S409" s="17">
        <f>IF(R409&gt;0.09,1,0)</f>
        <v>0</v>
      </c>
      <c r="T409" s="35">
        <v>0</v>
      </c>
      <c r="U409" s="29"/>
      <c r="V409" s="17">
        <f>SUM(J409,Q409,S409,T409,U409)</f>
        <v>0</v>
      </c>
      <c r="W409" s="17">
        <v>0</v>
      </c>
      <c r="X409" s="17">
        <v>0</v>
      </c>
      <c r="Y409" s="37">
        <v>0</v>
      </c>
    </row>
    <row r="410" spans="1:25" s="19" customFormat="1" ht="14.25" customHeight="1" x14ac:dyDescent="0.25">
      <c r="A410" s="32">
        <v>81</v>
      </c>
      <c r="B410" s="32">
        <v>135</v>
      </c>
      <c r="C410" s="32">
        <v>91</v>
      </c>
      <c r="D410" s="33">
        <v>1</v>
      </c>
      <c r="E410" s="32"/>
      <c r="F410" s="32">
        <v>0</v>
      </c>
      <c r="G410" s="33">
        <v>16.2</v>
      </c>
      <c r="H410" s="32">
        <v>127</v>
      </c>
      <c r="I410" s="14">
        <f>H410/A410</f>
        <v>1.5679012345679013</v>
      </c>
      <c r="J410" s="32">
        <v>1</v>
      </c>
      <c r="K410" s="33">
        <v>1</v>
      </c>
      <c r="L410" s="32"/>
      <c r="M410" s="32">
        <v>0</v>
      </c>
      <c r="N410" s="34"/>
      <c r="O410" s="14"/>
      <c r="P410" s="14"/>
      <c r="Q410" s="17">
        <f>IF(F410&lt;2,IF(M410&lt;2,0,1),1)</f>
        <v>0</v>
      </c>
      <c r="R410" s="18">
        <f>K410-D410</f>
        <v>0</v>
      </c>
      <c r="S410" s="17">
        <f>IF(R410&gt;0.09,1,0)</f>
        <v>0</v>
      </c>
      <c r="T410" s="35">
        <v>1</v>
      </c>
      <c r="U410" s="29"/>
      <c r="V410" s="17">
        <f>SUM(J410,Q410,S410,T410,U410)</f>
        <v>2</v>
      </c>
      <c r="W410" s="17">
        <v>3</v>
      </c>
      <c r="X410" s="17">
        <v>3</v>
      </c>
      <c r="Y410" s="37">
        <v>0</v>
      </c>
    </row>
    <row r="411" spans="1:25" s="19" customFormat="1" ht="14.25" customHeight="1" x14ac:dyDescent="0.25">
      <c r="A411" s="32">
        <v>83</v>
      </c>
      <c r="B411" s="32">
        <v>141</v>
      </c>
      <c r="C411" s="32">
        <v>85</v>
      </c>
      <c r="D411" s="33">
        <v>1.38</v>
      </c>
      <c r="E411" s="32"/>
      <c r="F411" s="32">
        <v>0</v>
      </c>
      <c r="G411" s="33">
        <v>19.8</v>
      </c>
      <c r="H411" s="32">
        <v>144</v>
      </c>
      <c r="I411" s="14">
        <f>H411/A411</f>
        <v>1.7349397590361446</v>
      </c>
      <c r="J411" s="32">
        <v>1</v>
      </c>
      <c r="K411" s="33">
        <v>1.38</v>
      </c>
      <c r="L411" s="32"/>
      <c r="M411" s="32">
        <v>0</v>
      </c>
      <c r="N411" s="34">
        <v>17.2</v>
      </c>
      <c r="O411" s="14">
        <f>N411/G411</f>
        <v>0.86868686868686862</v>
      </c>
      <c r="P411" s="14">
        <f>N411-G411</f>
        <v>-2.6000000000000014</v>
      </c>
      <c r="Q411" s="17">
        <f>IF(F411&lt;2,IF(M411&lt;2,0,1),1)</f>
        <v>0</v>
      </c>
      <c r="R411" s="18">
        <f>K411-D411</f>
        <v>0</v>
      </c>
      <c r="S411" s="17">
        <f>IF(R411&gt;0.09,1,0)</f>
        <v>0</v>
      </c>
      <c r="T411" s="35">
        <v>1</v>
      </c>
      <c r="U411" s="29"/>
      <c r="V411" s="17">
        <f>SUM(J411,Q411,S411,T411,U411)</f>
        <v>2</v>
      </c>
      <c r="W411" s="17">
        <v>2</v>
      </c>
      <c r="X411" s="17">
        <v>2</v>
      </c>
      <c r="Y411" s="37">
        <v>0</v>
      </c>
    </row>
    <row r="412" spans="1:25" s="19" customFormat="1" ht="14.25" customHeight="1" x14ac:dyDescent="0.25">
      <c r="A412" s="32">
        <v>81</v>
      </c>
      <c r="B412" s="32">
        <v>139</v>
      </c>
      <c r="C412" s="32">
        <v>78</v>
      </c>
      <c r="D412" s="33">
        <v>1</v>
      </c>
      <c r="E412" s="32"/>
      <c r="F412" s="32">
        <v>0</v>
      </c>
      <c r="G412" s="33">
        <v>23.5</v>
      </c>
      <c r="H412" s="32">
        <v>136</v>
      </c>
      <c r="I412" s="14">
        <f>H412/A412</f>
        <v>1.6790123456790123</v>
      </c>
      <c r="J412" s="32">
        <v>1</v>
      </c>
      <c r="K412" s="33">
        <v>1</v>
      </c>
      <c r="L412" s="32"/>
      <c r="M412" s="32">
        <v>0</v>
      </c>
      <c r="N412" s="34">
        <v>20.399999999999999</v>
      </c>
      <c r="O412" s="14">
        <f>N412/G412</f>
        <v>0.86808510638297864</v>
      </c>
      <c r="P412" s="14">
        <f>N412-G412</f>
        <v>-3.1000000000000014</v>
      </c>
      <c r="Q412" s="17">
        <f>IF(F412&lt;2,IF(M412&lt;2,0,1),1)</f>
        <v>0</v>
      </c>
      <c r="R412" s="18">
        <f>K412-D412</f>
        <v>0</v>
      </c>
      <c r="S412" s="17">
        <f>IF(R412&gt;0.09,1,0)</f>
        <v>0</v>
      </c>
      <c r="T412" s="35">
        <v>1</v>
      </c>
      <c r="U412" s="29"/>
      <c r="V412" s="17">
        <f>SUM(J412,Q412,S412,T412,U412)</f>
        <v>2</v>
      </c>
      <c r="W412" s="17">
        <v>2</v>
      </c>
      <c r="X412" s="17">
        <v>2</v>
      </c>
      <c r="Y412" s="37"/>
    </row>
    <row r="413" spans="1:25" s="19" customFormat="1" ht="14.25" customHeight="1" x14ac:dyDescent="0.25">
      <c r="A413" s="32">
        <v>57</v>
      </c>
      <c r="B413" s="32">
        <v>135</v>
      </c>
      <c r="C413" s="32">
        <v>65</v>
      </c>
      <c r="D413" s="33">
        <v>1</v>
      </c>
      <c r="E413" s="32"/>
      <c r="F413" s="32">
        <v>0</v>
      </c>
      <c r="G413" s="33">
        <v>20.399999999999999</v>
      </c>
      <c r="H413" s="32">
        <v>133</v>
      </c>
      <c r="I413" s="14">
        <f>H413/A413</f>
        <v>2.3333333333333335</v>
      </c>
      <c r="J413" s="32">
        <v>0</v>
      </c>
      <c r="K413" s="33">
        <v>1</v>
      </c>
      <c r="L413" s="32"/>
      <c r="M413" s="32">
        <v>0</v>
      </c>
      <c r="N413" s="34">
        <v>24.2</v>
      </c>
      <c r="O413" s="14">
        <f>N413/G413</f>
        <v>1.1862745098039216</v>
      </c>
      <c r="P413" s="14">
        <f>N413-G413</f>
        <v>3.8000000000000007</v>
      </c>
      <c r="Q413" s="17">
        <f>IF(F413&lt;2,IF(M413&lt;2,0,1),1)</f>
        <v>0</v>
      </c>
      <c r="R413" s="18">
        <f>K413-D413</f>
        <v>0</v>
      </c>
      <c r="S413" s="17">
        <f>IF(R413&gt;0.09,1,0)</f>
        <v>0</v>
      </c>
      <c r="T413" s="35">
        <v>1</v>
      </c>
      <c r="U413" s="29"/>
      <c r="V413" s="17">
        <f>SUM(J413,Q413,S413,T413,U413)</f>
        <v>1</v>
      </c>
      <c r="W413" s="17">
        <v>1</v>
      </c>
      <c r="X413" s="17">
        <v>1</v>
      </c>
      <c r="Y413" s="37">
        <v>0</v>
      </c>
    </row>
    <row r="414" spans="1:25" s="19" customFormat="1" ht="14.25" customHeight="1" x14ac:dyDescent="0.25">
      <c r="A414" s="32">
        <v>72</v>
      </c>
      <c r="B414" s="32">
        <v>126</v>
      </c>
      <c r="C414" s="32">
        <v>70</v>
      </c>
      <c r="D414" s="33">
        <v>1</v>
      </c>
      <c r="E414" s="32"/>
      <c r="F414" s="32">
        <v>0</v>
      </c>
      <c r="G414" s="33">
        <v>22.4</v>
      </c>
      <c r="H414" s="32">
        <v>115</v>
      </c>
      <c r="I414" s="14">
        <f>H414/A414</f>
        <v>1.5972222222222223</v>
      </c>
      <c r="J414" s="32">
        <v>1</v>
      </c>
      <c r="K414" s="33">
        <v>1</v>
      </c>
      <c r="L414" s="32"/>
      <c r="M414" s="32">
        <v>0</v>
      </c>
      <c r="N414" s="34"/>
      <c r="O414" s="14"/>
      <c r="P414" s="14"/>
      <c r="Q414" s="17">
        <f>IF(F414&lt;2,IF(M414&lt;2,0,1),1)</f>
        <v>0</v>
      </c>
      <c r="R414" s="18">
        <f>K414-D414</f>
        <v>0</v>
      </c>
      <c r="S414" s="17">
        <f>IF(R414&gt;0.09,1,0)</f>
        <v>0</v>
      </c>
      <c r="T414" s="35">
        <v>0</v>
      </c>
      <c r="U414" s="29"/>
      <c r="V414" s="17">
        <f>SUM(J414,Q414,S414,T414,U414)</f>
        <v>1</v>
      </c>
      <c r="W414" s="17">
        <v>2</v>
      </c>
      <c r="X414" s="17">
        <v>3</v>
      </c>
      <c r="Y414" s="37">
        <v>1</v>
      </c>
    </row>
    <row r="415" spans="1:25" s="19" customFormat="1" ht="14.25" customHeight="1" x14ac:dyDescent="0.25">
      <c r="A415" s="32">
        <v>86</v>
      </c>
      <c r="B415" s="32">
        <v>154</v>
      </c>
      <c r="C415" s="32">
        <v>73</v>
      </c>
      <c r="D415" s="33">
        <v>1</v>
      </c>
      <c r="E415" s="32"/>
      <c r="F415" s="32">
        <v>0</v>
      </c>
      <c r="G415" s="33">
        <v>24</v>
      </c>
      <c r="H415" s="32">
        <v>131</v>
      </c>
      <c r="I415" s="14">
        <f>H415/A415</f>
        <v>1.5232558139534884</v>
      </c>
      <c r="J415" s="32">
        <v>1</v>
      </c>
      <c r="K415" s="33">
        <v>1.1200000000000001</v>
      </c>
      <c r="L415" s="32"/>
      <c r="M415" s="32">
        <v>0</v>
      </c>
      <c r="N415" s="34">
        <v>19.100000000000001</v>
      </c>
      <c r="O415" s="14">
        <f>N415/G415</f>
        <v>0.79583333333333339</v>
      </c>
      <c r="P415" s="14">
        <f>N415-G415</f>
        <v>-4.8999999999999986</v>
      </c>
      <c r="Q415" s="17">
        <f>IF(F415&lt;2,IF(M415&lt;2,0,1),1)</f>
        <v>0</v>
      </c>
      <c r="R415" s="18">
        <f>K415-D415</f>
        <v>0.12000000000000011</v>
      </c>
      <c r="S415" s="17">
        <f>IF(R415&gt;0.09,1,0)</f>
        <v>1</v>
      </c>
      <c r="T415" s="35">
        <v>1</v>
      </c>
      <c r="U415" s="29"/>
      <c r="V415" s="17">
        <f>SUM(J415,Q415,S415,T415,U415)</f>
        <v>3</v>
      </c>
      <c r="W415" s="17">
        <v>4</v>
      </c>
      <c r="X415" s="17">
        <v>4</v>
      </c>
      <c r="Y415" s="37"/>
    </row>
    <row r="416" spans="1:25" s="19" customFormat="1" ht="14.25" customHeight="1" x14ac:dyDescent="0.25">
      <c r="A416" s="32">
        <v>55</v>
      </c>
      <c r="B416" s="32">
        <v>113</v>
      </c>
      <c r="C416" s="32">
        <v>78</v>
      </c>
      <c r="D416" s="33">
        <v>1</v>
      </c>
      <c r="E416" s="32"/>
      <c r="F416" s="32">
        <v>0</v>
      </c>
      <c r="G416" s="33">
        <v>20.6</v>
      </c>
      <c r="H416" s="32">
        <v>146</v>
      </c>
      <c r="I416" s="14">
        <f>H416/A416</f>
        <v>2.6545454545454548</v>
      </c>
      <c r="J416" s="32">
        <v>0</v>
      </c>
      <c r="K416" s="33">
        <v>1</v>
      </c>
      <c r="L416" s="32"/>
      <c r="M416" s="32">
        <v>0</v>
      </c>
      <c r="N416" s="34">
        <v>20.3</v>
      </c>
      <c r="O416" s="14">
        <f>N416/G416</f>
        <v>0.9854368932038835</v>
      </c>
      <c r="P416" s="14">
        <f>N416-G416</f>
        <v>-0.30000000000000071</v>
      </c>
      <c r="Q416" s="17">
        <f>IF(F416&lt;2,IF(M416&lt;2,0,1),1)</f>
        <v>0</v>
      </c>
      <c r="R416" s="18">
        <f>K416-D416</f>
        <v>0</v>
      </c>
      <c r="S416" s="17">
        <f>IF(R416&gt;0.09,1,0)</f>
        <v>0</v>
      </c>
      <c r="T416" s="35">
        <v>0</v>
      </c>
      <c r="U416" s="29"/>
      <c r="V416" s="17">
        <f>SUM(J416,Q416,S416,T416,U416)</f>
        <v>0</v>
      </c>
      <c r="W416" s="17">
        <v>1</v>
      </c>
      <c r="X416" s="17">
        <v>2</v>
      </c>
      <c r="Y416" s="37">
        <v>0</v>
      </c>
    </row>
    <row r="417" spans="1:25" s="19" customFormat="1" ht="14.25" customHeight="1" x14ac:dyDescent="0.25">
      <c r="A417" s="32">
        <v>70</v>
      </c>
      <c r="B417" s="32">
        <v>106</v>
      </c>
      <c r="C417" s="32">
        <v>62</v>
      </c>
      <c r="D417" s="33">
        <v>1</v>
      </c>
      <c r="E417" s="32"/>
      <c r="F417" s="32">
        <v>4</v>
      </c>
      <c r="G417" s="33">
        <v>17</v>
      </c>
      <c r="H417" s="32">
        <v>150</v>
      </c>
      <c r="I417" s="14">
        <f>H417/A417</f>
        <v>2.1428571428571428</v>
      </c>
      <c r="J417" s="32">
        <v>0</v>
      </c>
      <c r="K417" s="33">
        <v>1</v>
      </c>
      <c r="L417" s="32"/>
      <c r="M417" s="32">
        <v>4</v>
      </c>
      <c r="N417" s="34">
        <v>15.3</v>
      </c>
      <c r="O417" s="14">
        <f>N417/G417</f>
        <v>0.9</v>
      </c>
      <c r="P417" s="14">
        <f>N417-G417</f>
        <v>-1.6999999999999993</v>
      </c>
      <c r="Q417" s="17">
        <f>IF(F417&lt;2,IF(M417&lt;2,0,1),1)</f>
        <v>1</v>
      </c>
      <c r="R417" s="18">
        <f>K417-D417</f>
        <v>0</v>
      </c>
      <c r="S417" s="17">
        <f>IF(R417&gt;0.09,1,0)</f>
        <v>0</v>
      </c>
      <c r="T417" s="35">
        <v>0</v>
      </c>
      <c r="U417" s="29"/>
      <c r="V417" s="17">
        <f>SUM(J417,Q417,S417,T417,U417)</f>
        <v>1</v>
      </c>
      <c r="W417" s="17">
        <v>2</v>
      </c>
      <c r="X417" s="17">
        <v>3</v>
      </c>
      <c r="Y417" s="37">
        <v>0</v>
      </c>
    </row>
    <row r="418" spans="1:25" s="19" customFormat="1" ht="14.25" customHeight="1" x14ac:dyDescent="0.25">
      <c r="A418" s="32">
        <v>78</v>
      </c>
      <c r="B418" s="32">
        <v>119</v>
      </c>
      <c r="C418" s="32">
        <v>81</v>
      </c>
      <c r="D418" s="33">
        <v>1</v>
      </c>
      <c r="E418" s="32"/>
      <c r="F418" s="32">
        <v>0</v>
      </c>
      <c r="G418" s="33">
        <v>17.7</v>
      </c>
      <c r="H418" s="32">
        <v>105</v>
      </c>
      <c r="I418" s="14">
        <f>H418/A418</f>
        <v>1.3461538461538463</v>
      </c>
      <c r="J418" s="32">
        <v>1</v>
      </c>
      <c r="K418" s="33">
        <v>1.06</v>
      </c>
      <c r="L418" s="32"/>
      <c r="M418" s="32">
        <v>0</v>
      </c>
      <c r="N418" s="34">
        <v>17.899999999999999</v>
      </c>
      <c r="O418" s="14">
        <f>N418/G418</f>
        <v>1.0112994350282485</v>
      </c>
      <c r="P418" s="14">
        <f>N418-G418</f>
        <v>0.19999999999999929</v>
      </c>
      <c r="Q418" s="17">
        <f>IF(F418&lt;2,IF(M418&lt;2,0,1),1)</f>
        <v>0</v>
      </c>
      <c r="R418" s="18">
        <f>K418-D418</f>
        <v>6.0000000000000053E-2</v>
      </c>
      <c r="S418" s="17">
        <f>IF(R418&gt;0.09,1,0)</f>
        <v>0</v>
      </c>
      <c r="T418" s="35">
        <v>1</v>
      </c>
      <c r="U418" s="29"/>
      <c r="V418" s="17">
        <f>SUM(J418,Q418,S418,T418,U418)</f>
        <v>2</v>
      </c>
      <c r="W418" s="17">
        <v>3</v>
      </c>
      <c r="X418" s="17">
        <v>3</v>
      </c>
      <c r="Y418" s="37">
        <v>0</v>
      </c>
    </row>
    <row r="419" spans="1:25" s="19" customFormat="1" x14ac:dyDescent="0.25">
      <c r="A419" s="32">
        <v>82</v>
      </c>
      <c r="B419" s="32">
        <v>104</v>
      </c>
      <c r="C419" s="32">
        <v>75</v>
      </c>
      <c r="D419" s="33">
        <v>1.19</v>
      </c>
      <c r="E419" s="32"/>
      <c r="F419" s="32">
        <v>0</v>
      </c>
      <c r="G419" s="33">
        <v>13.4</v>
      </c>
      <c r="H419" s="32">
        <v>157</v>
      </c>
      <c r="I419" s="14">
        <f>H419/A419</f>
        <v>1.9146341463414633</v>
      </c>
      <c r="J419" s="32">
        <v>0</v>
      </c>
      <c r="K419" s="33">
        <v>1.19</v>
      </c>
      <c r="L419" s="32"/>
      <c r="M419" s="32">
        <v>0</v>
      </c>
      <c r="N419" s="34">
        <v>15.3</v>
      </c>
      <c r="O419" s="14">
        <f>N419/G419</f>
        <v>1.1417910447761195</v>
      </c>
      <c r="P419" s="14">
        <f>N419-G419</f>
        <v>1.9000000000000004</v>
      </c>
      <c r="Q419" s="17">
        <f>IF(F419&lt;2,IF(M419&lt;2,0,1),1)</f>
        <v>0</v>
      </c>
      <c r="R419" s="18">
        <f>K419-D419</f>
        <v>0</v>
      </c>
      <c r="S419" s="17">
        <f>IF(R419&gt;0.09,1,0)</f>
        <v>0</v>
      </c>
      <c r="T419" s="35">
        <v>1</v>
      </c>
      <c r="U419" s="29"/>
      <c r="V419" s="17">
        <f>SUM(J419,Q419,S419,T419,U419)</f>
        <v>1</v>
      </c>
      <c r="W419" s="17">
        <v>1</v>
      </c>
      <c r="X419" s="17">
        <v>2</v>
      </c>
      <c r="Y419" s="37">
        <v>0</v>
      </c>
    </row>
    <row r="420" spans="1:25" s="19" customFormat="1" x14ac:dyDescent="0.25">
      <c r="A420" s="32">
        <v>71</v>
      </c>
      <c r="B420" s="32">
        <v>143</v>
      </c>
      <c r="C420" s="32">
        <v>89</v>
      </c>
      <c r="D420" s="33">
        <v>1</v>
      </c>
      <c r="E420" s="32"/>
      <c r="F420" s="32">
        <v>0</v>
      </c>
      <c r="G420" s="33">
        <v>20.7</v>
      </c>
      <c r="H420" s="32">
        <v>117</v>
      </c>
      <c r="I420" s="14">
        <f>H420/A420</f>
        <v>1.647887323943662</v>
      </c>
      <c r="J420" s="32">
        <v>1</v>
      </c>
      <c r="K420" s="33">
        <v>1</v>
      </c>
      <c r="L420" s="32"/>
      <c r="M420" s="32">
        <v>0</v>
      </c>
      <c r="N420" s="34">
        <v>13.1</v>
      </c>
      <c r="O420" s="14">
        <f>N420/G420</f>
        <v>0.63285024154589375</v>
      </c>
      <c r="P420" s="14">
        <f>N420-G420</f>
        <v>-7.6</v>
      </c>
      <c r="Q420" s="17">
        <f>IF(F420&lt;2,IF(M420&lt;2,0,1),1)</f>
        <v>0</v>
      </c>
      <c r="R420" s="18">
        <f>K420-D420</f>
        <v>0</v>
      </c>
      <c r="S420" s="17">
        <f>IF(R420&gt;0.09,1,0)</f>
        <v>0</v>
      </c>
      <c r="T420" s="35">
        <v>0</v>
      </c>
      <c r="U420" s="29"/>
      <c r="V420" s="17">
        <f>SUM(J420,Q420,S420,T420,U420)</f>
        <v>1</v>
      </c>
      <c r="W420" s="17">
        <v>2</v>
      </c>
      <c r="X420" s="17">
        <v>3</v>
      </c>
      <c r="Y420" s="37">
        <v>1</v>
      </c>
    </row>
    <row r="421" spans="1:25" s="19" customFormat="1" x14ac:dyDescent="0.25">
      <c r="A421" s="32">
        <v>91</v>
      </c>
      <c r="B421" s="32">
        <v>131</v>
      </c>
      <c r="C421" s="32">
        <v>78</v>
      </c>
      <c r="D421" s="33">
        <v>1</v>
      </c>
      <c r="E421" s="32"/>
      <c r="F421" s="32">
        <v>2</v>
      </c>
      <c r="G421" s="33">
        <v>13</v>
      </c>
      <c r="H421" s="32">
        <v>114</v>
      </c>
      <c r="I421" s="14">
        <f>H421/A421</f>
        <v>1.2527472527472527</v>
      </c>
      <c r="J421" s="32">
        <v>1</v>
      </c>
      <c r="K421" s="33">
        <v>1.1299999999999999</v>
      </c>
      <c r="L421" s="32"/>
      <c r="M421" s="32">
        <v>2</v>
      </c>
      <c r="N421" s="34">
        <v>16.100000000000001</v>
      </c>
      <c r="O421" s="14">
        <f>N421/G421</f>
        <v>1.2384615384615385</v>
      </c>
      <c r="P421" s="14">
        <f>N421-G421</f>
        <v>3.1000000000000014</v>
      </c>
      <c r="Q421" s="17">
        <f>IF(F421&lt;2,IF(M421&lt;2,0,1),1)</f>
        <v>1</v>
      </c>
      <c r="R421" s="18">
        <f>K421-D421</f>
        <v>0.12999999999999989</v>
      </c>
      <c r="S421" s="17">
        <f>IF(R421&gt;0.09,1,0)</f>
        <v>1</v>
      </c>
      <c r="T421" s="35">
        <v>1</v>
      </c>
      <c r="U421" s="29"/>
      <c r="V421" s="17">
        <f>SUM(J421,Q421,S421,T421,U421)</f>
        <v>4</v>
      </c>
      <c r="W421" s="17">
        <v>5</v>
      </c>
      <c r="X421" s="17">
        <v>6</v>
      </c>
      <c r="Y421" s="37">
        <v>1</v>
      </c>
    </row>
    <row r="422" spans="1:25" s="19" customFormat="1" x14ac:dyDescent="0.25">
      <c r="A422" s="32">
        <v>74</v>
      </c>
      <c r="B422" s="32">
        <v>151</v>
      </c>
      <c r="C422" s="32">
        <v>87</v>
      </c>
      <c r="D422" s="33">
        <v>1</v>
      </c>
      <c r="E422" s="32"/>
      <c r="F422" s="32">
        <v>0</v>
      </c>
      <c r="G422" s="33">
        <v>18.899999999999999</v>
      </c>
      <c r="H422" s="32">
        <v>133</v>
      </c>
      <c r="I422" s="14">
        <f>H422/A422</f>
        <v>1.7972972972972974</v>
      </c>
      <c r="J422" s="32">
        <v>1</v>
      </c>
      <c r="K422" s="33">
        <v>1.06</v>
      </c>
      <c r="L422" s="32"/>
      <c r="M422" s="32">
        <v>0</v>
      </c>
      <c r="N422" s="34">
        <v>21.2</v>
      </c>
      <c r="O422" s="14">
        <f>N422/G422</f>
        <v>1.1216931216931216</v>
      </c>
      <c r="P422" s="14">
        <f>N422-G422</f>
        <v>2.3000000000000007</v>
      </c>
      <c r="Q422" s="17">
        <f>IF(F422&lt;2,IF(M422&lt;2,0,1),1)</f>
        <v>0</v>
      </c>
      <c r="R422" s="18">
        <f>K422-D422</f>
        <v>6.0000000000000053E-2</v>
      </c>
      <c r="S422" s="17">
        <f>IF(R422&gt;0.09,1,0)</f>
        <v>0</v>
      </c>
      <c r="T422" s="35">
        <v>1</v>
      </c>
      <c r="U422" s="29"/>
      <c r="V422" s="17">
        <f>SUM(J422,Q422,S422,T422,U422)</f>
        <v>2</v>
      </c>
      <c r="W422" s="17">
        <v>3</v>
      </c>
      <c r="X422" s="17">
        <v>4</v>
      </c>
      <c r="Y422" s="37">
        <v>1</v>
      </c>
    </row>
    <row r="423" spans="1:25" s="19" customFormat="1" x14ac:dyDescent="0.25">
      <c r="A423" s="32">
        <v>81</v>
      </c>
      <c r="B423" s="32">
        <v>141</v>
      </c>
      <c r="C423" s="32">
        <v>69</v>
      </c>
      <c r="D423" s="33">
        <v>1</v>
      </c>
      <c r="E423" s="32"/>
      <c r="F423" s="32">
        <v>0</v>
      </c>
      <c r="G423" s="33">
        <v>19.7</v>
      </c>
      <c r="H423" s="32">
        <v>142</v>
      </c>
      <c r="I423" s="14">
        <f>H423/A423</f>
        <v>1.7530864197530864</v>
      </c>
      <c r="J423" s="32">
        <v>1</v>
      </c>
      <c r="K423" s="33">
        <v>1</v>
      </c>
      <c r="L423" s="32"/>
      <c r="M423" s="32">
        <v>0</v>
      </c>
      <c r="N423" s="34"/>
      <c r="O423" s="14"/>
      <c r="P423" s="14"/>
      <c r="Q423" s="17">
        <f>IF(F423&lt;2,IF(M423&lt;2,0,1),1)</f>
        <v>0</v>
      </c>
      <c r="R423" s="18">
        <f>K423-D423</f>
        <v>0</v>
      </c>
      <c r="S423" s="17">
        <f>IF(R423&gt;0.09,1,0)</f>
        <v>0</v>
      </c>
      <c r="T423" s="35">
        <v>0</v>
      </c>
      <c r="U423" s="29"/>
      <c r="V423" s="17">
        <f>SUM(J423,Q423,S423,T423,U423)</f>
        <v>1</v>
      </c>
      <c r="W423" s="17">
        <v>2</v>
      </c>
      <c r="X423" s="17">
        <v>2</v>
      </c>
      <c r="Y423" s="37">
        <v>0</v>
      </c>
    </row>
    <row r="424" spans="1:25" s="19" customFormat="1" x14ac:dyDescent="0.25">
      <c r="A424" s="32">
        <v>80</v>
      </c>
      <c r="B424" s="32">
        <v>120</v>
      </c>
      <c r="C424" s="32">
        <v>82</v>
      </c>
      <c r="D424" s="33">
        <v>1</v>
      </c>
      <c r="E424" s="32"/>
      <c r="F424" s="32">
        <v>0</v>
      </c>
      <c r="G424" s="33">
        <v>18.100000000000001</v>
      </c>
      <c r="H424" s="32">
        <v>142</v>
      </c>
      <c r="I424" s="14">
        <f>H424/A424</f>
        <v>1.7749999999999999</v>
      </c>
      <c r="J424" s="32">
        <v>1</v>
      </c>
      <c r="K424" s="33">
        <v>1</v>
      </c>
      <c r="L424" s="32"/>
      <c r="M424" s="32">
        <v>0</v>
      </c>
      <c r="N424" s="34">
        <v>21.1</v>
      </c>
      <c r="O424" s="14">
        <f>N424/G424</f>
        <v>1.1657458563535912</v>
      </c>
      <c r="P424" s="14">
        <f>N424-G424</f>
        <v>3</v>
      </c>
      <c r="Q424" s="17">
        <f>IF(F424&lt;2,IF(M424&lt;2,0,1),1)</f>
        <v>0</v>
      </c>
      <c r="R424" s="18">
        <f>K424-D424</f>
        <v>0</v>
      </c>
      <c r="S424" s="17">
        <f>IF(R424&gt;0.09,1,0)</f>
        <v>0</v>
      </c>
      <c r="T424" s="35">
        <v>0</v>
      </c>
      <c r="U424" s="29"/>
      <c r="V424" s="17">
        <f>SUM(J424,Q424,S424,T424,U424)</f>
        <v>1</v>
      </c>
      <c r="W424" s="17">
        <v>1</v>
      </c>
      <c r="X424" s="17">
        <v>1</v>
      </c>
      <c r="Y424" s="37">
        <v>0</v>
      </c>
    </row>
    <row r="425" spans="1:25" s="19" customFormat="1" x14ac:dyDescent="0.25">
      <c r="A425" s="32">
        <v>62</v>
      </c>
      <c r="B425" s="32">
        <v>118</v>
      </c>
      <c r="C425" s="32">
        <v>60</v>
      </c>
      <c r="D425" s="33">
        <v>1.44</v>
      </c>
      <c r="E425" s="32"/>
      <c r="F425" s="32">
        <v>0</v>
      </c>
      <c r="G425" s="33">
        <v>16.2</v>
      </c>
      <c r="H425" s="32">
        <v>132</v>
      </c>
      <c r="I425" s="14">
        <f>H425/A425</f>
        <v>2.129032258064516</v>
      </c>
      <c r="J425" s="32">
        <v>0</v>
      </c>
      <c r="K425" s="33">
        <v>1.38</v>
      </c>
      <c r="L425" s="32"/>
      <c r="M425" s="32">
        <v>0</v>
      </c>
      <c r="N425" s="34"/>
      <c r="O425" s="14"/>
      <c r="P425" s="14"/>
      <c r="Q425" s="17">
        <f>IF(F425&lt;2,IF(M425&lt;2,0,1),1)</f>
        <v>0</v>
      </c>
      <c r="R425" s="18">
        <f>K425-D425</f>
        <v>-6.0000000000000053E-2</v>
      </c>
      <c r="S425" s="17">
        <f>IF(R425&gt;0.09,1,0)</f>
        <v>0</v>
      </c>
      <c r="T425" s="35">
        <v>0</v>
      </c>
      <c r="U425" s="29"/>
      <c r="V425" s="17">
        <f>SUM(J425,Q425,S425,T425,U425)</f>
        <v>0</v>
      </c>
      <c r="W425" s="17">
        <v>0</v>
      </c>
      <c r="X425" s="17">
        <v>1</v>
      </c>
      <c r="Y425" s="37">
        <v>0</v>
      </c>
    </row>
    <row r="426" spans="1:25" s="19" customFormat="1" x14ac:dyDescent="0.25">
      <c r="A426" s="32">
        <v>87</v>
      </c>
      <c r="B426" s="32">
        <v>111</v>
      </c>
      <c r="C426" s="32">
        <v>69</v>
      </c>
      <c r="D426" s="33">
        <v>1</v>
      </c>
      <c r="E426" s="32"/>
      <c r="F426" s="32">
        <v>0</v>
      </c>
      <c r="G426" s="33">
        <v>18.7</v>
      </c>
      <c r="H426" s="32">
        <v>148</v>
      </c>
      <c r="I426" s="14">
        <f>H426/A426</f>
        <v>1.7011494252873562</v>
      </c>
      <c r="J426" s="32">
        <v>1</v>
      </c>
      <c r="K426" s="33">
        <v>1</v>
      </c>
      <c r="L426" s="32"/>
      <c r="M426" s="32">
        <v>0</v>
      </c>
      <c r="N426" s="34">
        <v>23.8</v>
      </c>
      <c r="O426" s="14">
        <f>N426/G426</f>
        <v>1.2727272727272727</v>
      </c>
      <c r="P426" s="14">
        <f>N426-G426</f>
        <v>5.1000000000000014</v>
      </c>
      <c r="Q426" s="17">
        <f>IF(F426&lt;2,IF(M426&lt;2,0,1),1)</f>
        <v>0</v>
      </c>
      <c r="R426" s="18">
        <f>K426-D426</f>
        <v>0</v>
      </c>
      <c r="S426" s="17">
        <f>IF(R426&gt;0.09,1,0)</f>
        <v>0</v>
      </c>
      <c r="T426" s="35">
        <v>1</v>
      </c>
      <c r="U426" s="29"/>
      <c r="V426" s="17">
        <f>SUM(J426,Q426,S426,T426,U426)</f>
        <v>2</v>
      </c>
      <c r="W426" s="17">
        <v>2</v>
      </c>
      <c r="X426" s="17">
        <v>2</v>
      </c>
      <c r="Y426" s="37">
        <v>0</v>
      </c>
    </row>
    <row r="427" spans="1:25" s="19" customFormat="1" x14ac:dyDescent="0.25">
      <c r="A427" s="32">
        <v>62</v>
      </c>
      <c r="B427" s="32">
        <v>109</v>
      </c>
      <c r="C427" s="32">
        <v>69</v>
      </c>
      <c r="D427" s="33">
        <v>1</v>
      </c>
      <c r="E427" s="32"/>
      <c r="F427" s="32">
        <v>0</v>
      </c>
      <c r="G427" s="33">
        <v>18.3</v>
      </c>
      <c r="H427" s="32">
        <v>133</v>
      </c>
      <c r="I427" s="14">
        <f>H427/A427</f>
        <v>2.1451612903225805</v>
      </c>
      <c r="J427" s="32">
        <v>0</v>
      </c>
      <c r="K427" s="33">
        <v>1</v>
      </c>
      <c r="L427" s="32"/>
      <c r="M427" s="32">
        <v>0</v>
      </c>
      <c r="N427" s="34">
        <v>17.899999999999999</v>
      </c>
      <c r="O427" s="14">
        <f>N427/G427</f>
        <v>0.97814207650273211</v>
      </c>
      <c r="P427" s="14">
        <f>N427-G427</f>
        <v>-0.40000000000000213</v>
      </c>
      <c r="Q427" s="17">
        <f>IF(F427&lt;2,IF(M427&lt;2,0,1),1)</f>
        <v>0</v>
      </c>
      <c r="R427" s="18">
        <f>K427-D427</f>
        <v>0</v>
      </c>
      <c r="S427" s="17">
        <f>IF(R427&gt;0.09,1,0)</f>
        <v>0</v>
      </c>
      <c r="T427" s="35">
        <v>1</v>
      </c>
      <c r="U427" s="29"/>
      <c r="V427" s="17">
        <f>SUM(J427,Q427,S427,T427,U427)</f>
        <v>1</v>
      </c>
      <c r="W427" s="17">
        <v>2</v>
      </c>
      <c r="X427" s="17">
        <v>3</v>
      </c>
      <c r="Y427" s="37">
        <v>0</v>
      </c>
    </row>
    <row r="428" spans="1:25" s="19" customFormat="1" x14ac:dyDescent="0.25">
      <c r="A428" s="32">
        <v>66</v>
      </c>
      <c r="B428" s="32">
        <v>119</v>
      </c>
      <c r="C428" s="32">
        <v>86</v>
      </c>
      <c r="D428" s="33">
        <v>1</v>
      </c>
      <c r="E428" s="32"/>
      <c r="F428" s="32">
        <v>0</v>
      </c>
      <c r="G428" s="33">
        <v>17.3</v>
      </c>
      <c r="H428" s="32">
        <v>122</v>
      </c>
      <c r="I428" s="14">
        <f>H428/A428</f>
        <v>1.8484848484848484</v>
      </c>
      <c r="J428" s="32">
        <v>0</v>
      </c>
      <c r="K428" s="33">
        <v>1</v>
      </c>
      <c r="L428" s="32"/>
      <c r="M428" s="32">
        <v>2</v>
      </c>
      <c r="N428" s="34">
        <v>16.399999999999999</v>
      </c>
      <c r="O428" s="14">
        <f>N428/G428</f>
        <v>0.94797687861271662</v>
      </c>
      <c r="P428" s="14">
        <f>N428-G428</f>
        <v>-0.90000000000000213</v>
      </c>
      <c r="Q428" s="17">
        <f>IF(F428&lt;2,IF(M428&lt;2,0,1),1)</f>
        <v>1</v>
      </c>
      <c r="R428" s="18">
        <f>K428-D428</f>
        <v>0</v>
      </c>
      <c r="S428" s="17">
        <f>IF(R428&gt;0.09,1,0)</f>
        <v>0</v>
      </c>
      <c r="T428" s="35">
        <v>0</v>
      </c>
      <c r="U428" s="29"/>
      <c r="V428" s="17">
        <f>SUM(J428,Q428,S428,T428,U428)</f>
        <v>1</v>
      </c>
      <c r="W428" s="17">
        <v>2</v>
      </c>
      <c r="X428" s="17">
        <v>3</v>
      </c>
      <c r="Y428" s="37">
        <v>1</v>
      </c>
    </row>
    <row r="429" spans="1:25" s="19" customFormat="1" x14ac:dyDescent="0.25">
      <c r="A429" s="32">
        <v>85</v>
      </c>
      <c r="B429" s="32">
        <v>119</v>
      </c>
      <c r="C429" s="32">
        <v>86</v>
      </c>
      <c r="D429" s="33">
        <v>1</v>
      </c>
      <c r="E429" s="32"/>
      <c r="F429" s="32">
        <v>0</v>
      </c>
      <c r="G429" s="33">
        <v>19.399999999999999</v>
      </c>
      <c r="H429" s="32">
        <v>162</v>
      </c>
      <c r="I429" s="14">
        <f>H429/A429</f>
        <v>1.9058823529411764</v>
      </c>
      <c r="J429" s="32">
        <v>0</v>
      </c>
      <c r="K429" s="33">
        <v>1</v>
      </c>
      <c r="L429" s="32"/>
      <c r="M429" s="32">
        <v>0</v>
      </c>
      <c r="N429" s="34">
        <v>23.8</v>
      </c>
      <c r="O429" s="14">
        <f>N429/G429</f>
        <v>1.2268041237113403</v>
      </c>
      <c r="P429" s="14">
        <f>N429-G429</f>
        <v>4.4000000000000021</v>
      </c>
      <c r="Q429" s="17">
        <f>IF(F429&lt;2,IF(M429&lt;2,0,1),1)</f>
        <v>0</v>
      </c>
      <c r="R429" s="18">
        <f>K429-D429</f>
        <v>0</v>
      </c>
      <c r="S429" s="17">
        <f>IF(R429&gt;0.09,1,0)</f>
        <v>0</v>
      </c>
      <c r="T429" s="35">
        <v>1</v>
      </c>
      <c r="U429" s="29"/>
      <c r="V429" s="17">
        <f>SUM(J429,Q429,S429,T429,U429)</f>
        <v>1</v>
      </c>
      <c r="W429" s="17">
        <v>2</v>
      </c>
      <c r="X429" s="17">
        <v>2</v>
      </c>
      <c r="Y429" s="37">
        <v>0</v>
      </c>
    </row>
    <row r="430" spans="1:25" s="19" customFormat="1" x14ac:dyDescent="0.25">
      <c r="A430" s="32">
        <v>73</v>
      </c>
      <c r="B430" s="32">
        <v>121</v>
      </c>
      <c r="C430" s="32">
        <v>72</v>
      </c>
      <c r="D430" s="33">
        <v>1</v>
      </c>
      <c r="E430" s="32"/>
      <c r="F430" s="32">
        <v>0</v>
      </c>
      <c r="G430" s="33">
        <v>18</v>
      </c>
      <c r="H430" s="32">
        <v>144</v>
      </c>
      <c r="I430" s="14">
        <f>H430/A430</f>
        <v>1.9726027397260273</v>
      </c>
      <c r="J430" s="32">
        <v>0</v>
      </c>
      <c r="K430" s="33">
        <v>1</v>
      </c>
      <c r="L430" s="32"/>
      <c r="M430" s="32">
        <v>0</v>
      </c>
      <c r="N430" s="34"/>
      <c r="O430" s="14"/>
      <c r="P430" s="14"/>
      <c r="Q430" s="17">
        <f>IF(F430&lt;2,IF(M430&lt;2,0,1),1)</f>
        <v>0</v>
      </c>
      <c r="R430" s="18">
        <f>K430-D430</f>
        <v>0</v>
      </c>
      <c r="S430" s="17">
        <f>IF(R430&gt;0.09,1,0)</f>
        <v>0</v>
      </c>
      <c r="T430" s="35">
        <v>0</v>
      </c>
      <c r="U430" s="29"/>
      <c r="V430" s="17">
        <f>SUM(J430,Q430,S430,T430,U430)</f>
        <v>0</v>
      </c>
      <c r="W430" s="17">
        <v>1</v>
      </c>
      <c r="X430" s="17">
        <v>2</v>
      </c>
      <c r="Y430" s="37">
        <v>0</v>
      </c>
    </row>
    <row r="431" spans="1:25" s="19" customFormat="1" x14ac:dyDescent="0.25">
      <c r="A431" s="32">
        <v>64</v>
      </c>
      <c r="B431" s="32">
        <v>104</v>
      </c>
      <c r="C431" s="32">
        <v>76</v>
      </c>
      <c r="D431" s="33">
        <v>1</v>
      </c>
      <c r="E431" s="32"/>
      <c r="F431" s="32">
        <v>0</v>
      </c>
      <c r="G431" s="33">
        <v>18.399999999999999</v>
      </c>
      <c r="H431" s="32">
        <v>133</v>
      </c>
      <c r="I431" s="14">
        <f>H431/A431</f>
        <v>2.078125</v>
      </c>
      <c r="J431" s="32">
        <v>0</v>
      </c>
      <c r="K431" s="33">
        <v>1</v>
      </c>
      <c r="L431" s="32"/>
      <c r="M431" s="32">
        <v>3</v>
      </c>
      <c r="N431" s="34"/>
      <c r="O431" s="14"/>
      <c r="P431" s="14"/>
      <c r="Q431" s="17">
        <f>IF(F431&lt;2,IF(M431&lt;2,0,1),1)</f>
        <v>1</v>
      </c>
      <c r="R431" s="18">
        <f>K431-D431</f>
        <v>0</v>
      </c>
      <c r="S431" s="17">
        <f>IF(R431&gt;0.09,1,0)</f>
        <v>0</v>
      </c>
      <c r="T431" s="35">
        <v>0</v>
      </c>
      <c r="U431" s="29"/>
      <c r="V431" s="17">
        <f>SUM(J431,Q431,S431,T431,U431)</f>
        <v>1</v>
      </c>
      <c r="W431" s="17">
        <v>2</v>
      </c>
      <c r="X431" s="17">
        <v>2</v>
      </c>
      <c r="Y431" s="37">
        <v>0</v>
      </c>
    </row>
    <row r="432" spans="1:25" s="19" customFormat="1" x14ac:dyDescent="0.25">
      <c r="A432" s="32">
        <v>77</v>
      </c>
      <c r="B432" s="32">
        <v>122</v>
      </c>
      <c r="C432" s="32">
        <v>72</v>
      </c>
      <c r="D432" s="33">
        <v>1.1200000000000001</v>
      </c>
      <c r="E432" s="32"/>
      <c r="F432" s="32">
        <v>0</v>
      </c>
      <c r="G432" s="33"/>
      <c r="H432" s="32">
        <v>99</v>
      </c>
      <c r="I432" s="14">
        <f>H432/A432</f>
        <v>1.2857142857142858</v>
      </c>
      <c r="J432" s="32">
        <v>1</v>
      </c>
      <c r="K432" s="33">
        <v>1.31</v>
      </c>
      <c r="L432" s="32"/>
      <c r="M432" s="32">
        <v>0</v>
      </c>
      <c r="N432" s="34"/>
      <c r="O432" s="14"/>
      <c r="P432" s="14"/>
      <c r="Q432" s="17">
        <f>IF(F432&lt;2,IF(M432&lt;2,0,1),1)</f>
        <v>0</v>
      </c>
      <c r="R432" s="18">
        <f>K432-D432</f>
        <v>0.18999999999999995</v>
      </c>
      <c r="S432" s="17">
        <f>IF(R432&gt;0.09,1,0)</f>
        <v>1</v>
      </c>
      <c r="T432" s="35">
        <v>1</v>
      </c>
      <c r="U432" s="29"/>
      <c r="V432" s="17">
        <f>SUM(J432,Q432,S432,T432,U432)</f>
        <v>3</v>
      </c>
      <c r="W432" s="17">
        <v>4</v>
      </c>
      <c r="X432" s="17">
        <v>5</v>
      </c>
      <c r="Y432" s="37">
        <v>1</v>
      </c>
    </row>
    <row r="433" spans="1:25" s="19" customFormat="1" x14ac:dyDescent="0.25">
      <c r="A433" s="32">
        <v>53</v>
      </c>
      <c r="B433" s="32">
        <v>128</v>
      </c>
      <c r="C433" s="32">
        <v>81</v>
      </c>
      <c r="D433" s="33">
        <v>1</v>
      </c>
      <c r="E433" s="32"/>
      <c r="F433" s="32">
        <v>0</v>
      </c>
      <c r="G433" s="33"/>
      <c r="H433" s="32">
        <v>136</v>
      </c>
      <c r="I433" s="14">
        <f>H433/A433</f>
        <v>2.5660377358490565</v>
      </c>
      <c r="J433" s="32">
        <v>0</v>
      </c>
      <c r="K433" s="33">
        <v>1</v>
      </c>
      <c r="L433" s="32"/>
      <c r="M433" s="32">
        <v>0</v>
      </c>
      <c r="N433" s="34"/>
      <c r="O433" s="14"/>
      <c r="P433" s="14"/>
      <c r="Q433" s="17">
        <f>IF(F433&lt;2,IF(M433&lt;2,0,1),1)</f>
        <v>0</v>
      </c>
      <c r="R433" s="18">
        <f>K433-D433</f>
        <v>0</v>
      </c>
      <c r="S433" s="17">
        <f>IF(R433&gt;0.09,1,0)</f>
        <v>0</v>
      </c>
      <c r="T433" s="35">
        <v>0</v>
      </c>
      <c r="U433" s="29"/>
      <c r="V433" s="17">
        <f>SUM(J433,Q433,S433,T433,U433)</f>
        <v>0</v>
      </c>
      <c r="W433" s="17">
        <v>0</v>
      </c>
      <c r="X433" s="17">
        <v>0</v>
      </c>
      <c r="Y433" s="37">
        <v>0</v>
      </c>
    </row>
    <row r="434" spans="1:25" s="19" customFormat="1" x14ac:dyDescent="0.25">
      <c r="A434" s="32">
        <v>74</v>
      </c>
      <c r="B434" s="32">
        <v>98</v>
      </c>
      <c r="C434" s="32">
        <v>76</v>
      </c>
      <c r="D434" s="33">
        <v>1</v>
      </c>
      <c r="E434" s="32"/>
      <c r="F434" s="32">
        <v>2</v>
      </c>
      <c r="G434" s="33">
        <v>15.2</v>
      </c>
      <c r="H434" s="32">
        <v>157</v>
      </c>
      <c r="I434" s="14">
        <f>H434/A434</f>
        <v>2.1216216216216215</v>
      </c>
      <c r="J434" s="32">
        <v>0</v>
      </c>
      <c r="K434" s="33">
        <v>1</v>
      </c>
      <c r="L434" s="32"/>
      <c r="M434" s="32">
        <v>2</v>
      </c>
      <c r="N434" s="34">
        <v>20</v>
      </c>
      <c r="O434" s="14">
        <f>N434/G434</f>
        <v>1.3157894736842106</v>
      </c>
      <c r="P434" s="14">
        <f>N434-G434</f>
        <v>4.8000000000000007</v>
      </c>
      <c r="Q434" s="17">
        <f>IF(F434&lt;2,IF(M434&lt;2,0,1),1)</f>
        <v>1</v>
      </c>
      <c r="R434" s="18">
        <f>K434-D434</f>
        <v>0</v>
      </c>
      <c r="S434" s="17">
        <f>IF(R434&gt;0.09,1,0)</f>
        <v>0</v>
      </c>
      <c r="T434" s="35">
        <v>1</v>
      </c>
      <c r="U434" s="29"/>
      <c r="V434" s="17">
        <f>SUM(J434,Q434,S434,T434,U434)</f>
        <v>2</v>
      </c>
      <c r="W434" s="17">
        <v>3</v>
      </c>
      <c r="X434" s="17">
        <v>3</v>
      </c>
      <c r="Y434" s="37">
        <v>0</v>
      </c>
    </row>
    <row r="435" spans="1:25" s="19" customFormat="1" x14ac:dyDescent="0.25">
      <c r="A435" s="32">
        <v>55</v>
      </c>
      <c r="B435" s="32">
        <v>137</v>
      </c>
      <c r="C435" s="32">
        <v>81</v>
      </c>
      <c r="D435" s="33">
        <v>1</v>
      </c>
      <c r="E435" s="32"/>
      <c r="F435" s="32">
        <v>0</v>
      </c>
      <c r="G435" s="33">
        <v>21.6</v>
      </c>
      <c r="H435" s="32">
        <v>107</v>
      </c>
      <c r="I435" s="14">
        <f>H435/A435</f>
        <v>1.9454545454545455</v>
      </c>
      <c r="J435" s="32">
        <v>0</v>
      </c>
      <c r="K435" s="33">
        <v>1</v>
      </c>
      <c r="L435" s="32"/>
      <c r="M435" s="32">
        <v>4</v>
      </c>
      <c r="N435" s="34">
        <v>22.9</v>
      </c>
      <c r="O435" s="14">
        <f>N435/G435</f>
        <v>1.0601851851851851</v>
      </c>
      <c r="P435" s="14">
        <f>N435-G435</f>
        <v>1.2999999999999972</v>
      </c>
      <c r="Q435" s="17">
        <f>IF(F435&lt;2,IF(M435&lt;2,0,1),1)</f>
        <v>1</v>
      </c>
      <c r="R435" s="18">
        <f>K435-D435</f>
        <v>0</v>
      </c>
      <c r="S435" s="17">
        <f>IF(R435&gt;0.09,1,0)</f>
        <v>0</v>
      </c>
      <c r="T435" s="35">
        <v>1</v>
      </c>
      <c r="U435" s="29"/>
      <c r="V435" s="17">
        <f>SUM(J435,Q435,S435,T435,U435)</f>
        <v>2</v>
      </c>
      <c r="W435" s="17">
        <v>3</v>
      </c>
      <c r="X435" s="17">
        <v>4</v>
      </c>
      <c r="Y435" s="37">
        <v>0</v>
      </c>
    </row>
    <row r="436" spans="1:25" s="19" customFormat="1" x14ac:dyDescent="0.25">
      <c r="A436" s="32">
        <v>86</v>
      </c>
      <c r="B436" s="32">
        <v>103</v>
      </c>
      <c r="C436" s="32">
        <v>68</v>
      </c>
      <c r="D436" s="33">
        <v>1</v>
      </c>
      <c r="E436" s="32"/>
      <c r="F436" s="32">
        <v>0</v>
      </c>
      <c r="G436" s="33">
        <v>18.100000000000001</v>
      </c>
      <c r="H436" s="32">
        <v>113</v>
      </c>
      <c r="I436" s="14">
        <f>H436/A436</f>
        <v>1.3139534883720929</v>
      </c>
      <c r="J436" s="32">
        <v>1</v>
      </c>
      <c r="K436" s="33">
        <v>1.31</v>
      </c>
      <c r="L436" s="32"/>
      <c r="M436" s="32">
        <v>0</v>
      </c>
      <c r="N436" s="34">
        <v>26.5</v>
      </c>
      <c r="O436" s="14">
        <f>N436/G436</f>
        <v>1.4640883977900552</v>
      </c>
      <c r="P436" s="14">
        <f>N436-G436</f>
        <v>8.3999999999999986</v>
      </c>
      <c r="Q436" s="17">
        <f>IF(F436&lt;2,IF(M436&lt;2,0,1),1)</f>
        <v>0</v>
      </c>
      <c r="R436" s="18">
        <f>K436-D436</f>
        <v>0.31000000000000005</v>
      </c>
      <c r="S436" s="17">
        <f>IF(R436&gt;0.09,1,0)</f>
        <v>1</v>
      </c>
      <c r="T436" s="35">
        <v>1</v>
      </c>
      <c r="U436" s="29"/>
      <c r="V436" s="17">
        <f>SUM(J436,Q436,S436,T436,U436)</f>
        <v>3</v>
      </c>
      <c r="W436" s="17">
        <v>4</v>
      </c>
      <c r="X436" s="17">
        <v>4</v>
      </c>
      <c r="Y436" s="37">
        <v>0</v>
      </c>
    </row>
    <row r="437" spans="1:25" s="19" customFormat="1" x14ac:dyDescent="0.25">
      <c r="A437" s="32">
        <v>75</v>
      </c>
      <c r="B437" s="32">
        <v>120</v>
      </c>
      <c r="C437" s="32">
        <v>80</v>
      </c>
      <c r="D437" s="33">
        <v>1</v>
      </c>
      <c r="E437" s="32"/>
      <c r="F437" s="32">
        <v>2</v>
      </c>
      <c r="G437" s="33">
        <v>20.9</v>
      </c>
      <c r="H437" s="32">
        <v>130</v>
      </c>
      <c r="I437" s="14">
        <f>H437/A437</f>
        <v>1.7333333333333334</v>
      </c>
      <c r="J437" s="32">
        <v>1</v>
      </c>
      <c r="K437" s="33">
        <v>1</v>
      </c>
      <c r="L437" s="32"/>
      <c r="M437" s="32">
        <v>2</v>
      </c>
      <c r="N437" s="34">
        <v>19.5</v>
      </c>
      <c r="O437" s="14">
        <f>N437/G437</f>
        <v>0.93301435406698574</v>
      </c>
      <c r="P437" s="14">
        <f>N437-G437</f>
        <v>-1.3999999999999986</v>
      </c>
      <c r="Q437" s="17">
        <f>IF(F437&lt;2,IF(M437&lt;2,0,1),1)</f>
        <v>1</v>
      </c>
      <c r="R437" s="18">
        <f>K437-D437</f>
        <v>0</v>
      </c>
      <c r="S437" s="17">
        <f>IF(R437&gt;0.09,1,0)</f>
        <v>0</v>
      </c>
      <c r="T437" s="35">
        <v>1</v>
      </c>
      <c r="U437" s="29"/>
      <c r="V437" s="17">
        <f>SUM(J437,Q437,S437,T437,U437)</f>
        <v>3</v>
      </c>
      <c r="W437" s="17">
        <v>4</v>
      </c>
      <c r="X437" s="17">
        <v>4</v>
      </c>
      <c r="Y437" s="37">
        <v>1</v>
      </c>
    </row>
    <row r="438" spans="1:25" s="19" customFormat="1" x14ac:dyDescent="0.25">
      <c r="A438" s="32">
        <v>49</v>
      </c>
      <c r="B438" s="32">
        <v>127</v>
      </c>
      <c r="C438" s="32">
        <v>74</v>
      </c>
      <c r="D438" s="33">
        <v>1</v>
      </c>
      <c r="E438" s="32"/>
      <c r="F438" s="32">
        <v>0</v>
      </c>
      <c r="G438" s="33">
        <v>22.9</v>
      </c>
      <c r="H438" s="32">
        <v>112</v>
      </c>
      <c r="I438" s="14">
        <f>H438/A438</f>
        <v>2.2857142857142856</v>
      </c>
      <c r="J438" s="32">
        <v>0</v>
      </c>
      <c r="K438" s="33">
        <v>1.1200000000000001</v>
      </c>
      <c r="L438" s="32"/>
      <c r="M438" s="32">
        <v>4</v>
      </c>
      <c r="N438" s="34">
        <v>20.399999999999999</v>
      </c>
      <c r="O438" s="14">
        <f>N438/G438</f>
        <v>0.89082969432314407</v>
      </c>
      <c r="P438" s="14">
        <f>N438-G438</f>
        <v>-2.5</v>
      </c>
      <c r="Q438" s="17">
        <f>IF(F438&lt;2,IF(M438&lt;2,0,1),1)</f>
        <v>1</v>
      </c>
      <c r="R438" s="18">
        <f>K438-D438</f>
        <v>0.12000000000000011</v>
      </c>
      <c r="S438" s="17">
        <f>IF(R438&gt;0.09,1,0)</f>
        <v>1</v>
      </c>
      <c r="T438" s="35">
        <v>1</v>
      </c>
      <c r="U438" s="29"/>
      <c r="V438" s="17">
        <f>SUM(J438,Q438,S438,T438,U438)</f>
        <v>3</v>
      </c>
      <c r="W438" s="17">
        <v>4</v>
      </c>
      <c r="X438" s="17">
        <v>4</v>
      </c>
      <c r="Y438" s="37">
        <v>0</v>
      </c>
    </row>
    <row r="439" spans="1:25" s="19" customFormat="1" x14ac:dyDescent="0.25">
      <c r="A439" s="32">
        <v>83</v>
      </c>
      <c r="B439" s="32">
        <v>108</v>
      </c>
      <c r="C439" s="32">
        <v>80</v>
      </c>
      <c r="D439" s="33">
        <v>1</v>
      </c>
      <c r="E439" s="32"/>
      <c r="F439" s="32">
        <v>0</v>
      </c>
      <c r="G439" s="33">
        <v>16</v>
      </c>
      <c r="H439" s="32">
        <v>144</v>
      </c>
      <c r="I439" s="14">
        <f>H439/A439</f>
        <v>1.7349397590361446</v>
      </c>
      <c r="J439" s="32">
        <v>1</v>
      </c>
      <c r="K439" s="33">
        <v>1</v>
      </c>
      <c r="L439" s="32"/>
      <c r="M439" s="32">
        <v>4</v>
      </c>
      <c r="N439" s="34">
        <v>19.2</v>
      </c>
      <c r="O439" s="14">
        <f>N439/G439</f>
        <v>1.2</v>
      </c>
      <c r="P439" s="14">
        <f>N439-G439</f>
        <v>3.1999999999999993</v>
      </c>
      <c r="Q439" s="17">
        <f>IF(F439&lt;2,IF(M439&lt;2,0,1),1)</f>
        <v>1</v>
      </c>
      <c r="R439" s="18">
        <f>K439-D439</f>
        <v>0</v>
      </c>
      <c r="S439" s="17">
        <f>IF(R439&gt;0.09,1,0)</f>
        <v>0</v>
      </c>
      <c r="T439" s="35">
        <v>1</v>
      </c>
      <c r="U439" s="29"/>
      <c r="V439" s="17">
        <f>SUM(J439,Q439,S439,T439,U439)</f>
        <v>3</v>
      </c>
      <c r="W439" s="17">
        <v>3</v>
      </c>
      <c r="X439" s="17">
        <v>3</v>
      </c>
      <c r="Y439" s="37">
        <v>0</v>
      </c>
    </row>
    <row r="440" spans="1:25" s="19" customFormat="1" x14ac:dyDescent="0.25">
      <c r="A440" s="32">
        <v>74</v>
      </c>
      <c r="B440" s="32">
        <v>143</v>
      </c>
      <c r="C440" s="32">
        <v>89</v>
      </c>
      <c r="D440" s="33">
        <v>1</v>
      </c>
      <c r="E440" s="32"/>
      <c r="F440" s="32">
        <v>0</v>
      </c>
      <c r="G440" s="33">
        <v>17.100000000000001</v>
      </c>
      <c r="H440" s="32">
        <v>134</v>
      </c>
      <c r="I440" s="14">
        <f>H440/A440</f>
        <v>1.8108108108108107</v>
      </c>
      <c r="J440" s="32">
        <v>0</v>
      </c>
      <c r="K440" s="33">
        <v>1</v>
      </c>
      <c r="L440" s="32"/>
      <c r="M440" s="32">
        <v>2</v>
      </c>
      <c r="N440" s="34">
        <v>22.4</v>
      </c>
      <c r="O440" s="14">
        <f>N440/G440</f>
        <v>1.309941520467836</v>
      </c>
      <c r="P440" s="14">
        <f>N440-G440</f>
        <v>5.2999999999999972</v>
      </c>
      <c r="Q440" s="17">
        <f>IF(F440&lt;2,IF(M440&lt;2,0,1),1)</f>
        <v>1</v>
      </c>
      <c r="R440" s="18">
        <f>K440-D440</f>
        <v>0</v>
      </c>
      <c r="S440" s="17">
        <f>IF(R440&gt;0.09,1,0)</f>
        <v>0</v>
      </c>
      <c r="T440" s="35">
        <v>1</v>
      </c>
      <c r="U440" s="29"/>
      <c r="V440" s="17">
        <f>SUM(J440,Q440,S440,T440,U440)</f>
        <v>2</v>
      </c>
      <c r="W440" s="17">
        <v>3</v>
      </c>
      <c r="X440" s="17">
        <v>4</v>
      </c>
      <c r="Y440" s="37">
        <v>0</v>
      </c>
    </row>
    <row r="441" spans="1:25" s="19" customFormat="1" x14ac:dyDescent="0.25">
      <c r="A441" s="32">
        <v>48</v>
      </c>
      <c r="B441" s="32">
        <v>114</v>
      </c>
      <c r="C441" s="32">
        <v>71</v>
      </c>
      <c r="D441" s="33">
        <v>1</v>
      </c>
      <c r="E441" s="32"/>
      <c r="F441" s="32">
        <v>0</v>
      </c>
      <c r="G441" s="33">
        <v>15.1</v>
      </c>
      <c r="H441" s="32">
        <v>108</v>
      </c>
      <c r="I441" s="14">
        <f>H441/A441</f>
        <v>2.25</v>
      </c>
      <c r="J441" s="32">
        <v>0</v>
      </c>
      <c r="K441" s="33">
        <v>1</v>
      </c>
      <c r="L441" s="32"/>
      <c r="M441" s="32">
        <v>3</v>
      </c>
      <c r="N441" s="34">
        <v>18</v>
      </c>
      <c r="O441" s="14">
        <f>N441/G441</f>
        <v>1.1920529801324504</v>
      </c>
      <c r="P441" s="14">
        <f>N441-G441</f>
        <v>2.9000000000000004</v>
      </c>
      <c r="Q441" s="17">
        <f>IF(F441&lt;2,IF(M441&lt;2,0,1),1)</f>
        <v>1</v>
      </c>
      <c r="R441" s="18">
        <f>K441-D441</f>
        <v>0</v>
      </c>
      <c r="S441" s="17">
        <f>IF(R441&gt;0.09,1,0)</f>
        <v>0</v>
      </c>
      <c r="T441" s="35">
        <v>0</v>
      </c>
      <c r="U441" s="29"/>
      <c r="V441" s="17">
        <f>SUM(J441,Q441,S441,T441,U441)</f>
        <v>1</v>
      </c>
      <c r="W441" s="17">
        <v>1</v>
      </c>
      <c r="X441" s="17">
        <v>2</v>
      </c>
      <c r="Y441" s="37">
        <v>0</v>
      </c>
    </row>
    <row r="442" spans="1:25" s="19" customFormat="1" x14ac:dyDescent="0.25">
      <c r="A442" s="32">
        <v>81</v>
      </c>
      <c r="B442" s="32">
        <v>127</v>
      </c>
      <c r="C442" s="32">
        <v>65</v>
      </c>
      <c r="D442" s="33">
        <v>1.1200000000000001</v>
      </c>
      <c r="E442" s="32"/>
      <c r="F442" s="32">
        <v>0</v>
      </c>
      <c r="G442" s="33">
        <v>13.7</v>
      </c>
      <c r="H442" s="32">
        <v>130</v>
      </c>
      <c r="I442" s="14">
        <f>H442/A442</f>
        <v>1.6049382716049383</v>
      </c>
      <c r="J442" s="32">
        <v>1</v>
      </c>
      <c r="K442" s="33">
        <v>1.31</v>
      </c>
      <c r="L442" s="32"/>
      <c r="M442" s="32">
        <v>20</v>
      </c>
      <c r="N442" s="34">
        <v>10.5</v>
      </c>
      <c r="O442" s="14">
        <f>N442/G442</f>
        <v>0.76642335766423364</v>
      </c>
      <c r="P442" s="14">
        <f>N442-G442</f>
        <v>-3.1999999999999993</v>
      </c>
      <c r="Q442" s="17">
        <f>IF(F442&lt;2,IF(M442&lt;2,0,1),1)</f>
        <v>1</v>
      </c>
      <c r="R442" s="18">
        <f>K442-D442</f>
        <v>0.18999999999999995</v>
      </c>
      <c r="S442" s="17">
        <f>IF(R442&gt;0.09,1,0)</f>
        <v>1</v>
      </c>
      <c r="T442" s="35">
        <v>1</v>
      </c>
      <c r="U442" s="29"/>
      <c r="V442" s="17">
        <f>SUM(J442,Q442,S442,T442,U442)</f>
        <v>4</v>
      </c>
      <c r="W442" s="17">
        <v>5</v>
      </c>
      <c r="X442" s="17">
        <v>6</v>
      </c>
      <c r="Y442" s="37">
        <v>1</v>
      </c>
    </row>
    <row r="443" spans="1:25" s="19" customFormat="1" x14ac:dyDescent="0.25">
      <c r="A443" s="32">
        <v>53</v>
      </c>
      <c r="B443" s="32">
        <v>147</v>
      </c>
      <c r="C443" s="32">
        <v>97</v>
      </c>
      <c r="D443" s="33">
        <v>1.06</v>
      </c>
      <c r="E443" s="32"/>
      <c r="F443" s="32">
        <v>0</v>
      </c>
      <c r="G443" s="33">
        <v>17.2</v>
      </c>
      <c r="H443" s="32">
        <v>127</v>
      </c>
      <c r="I443" s="14">
        <f>H443/A443</f>
        <v>2.3962264150943398</v>
      </c>
      <c r="J443" s="32">
        <v>0</v>
      </c>
      <c r="K443" s="33">
        <v>1.31</v>
      </c>
      <c r="L443" s="32"/>
      <c r="M443" s="32">
        <v>0</v>
      </c>
      <c r="N443" s="34">
        <v>19.7</v>
      </c>
      <c r="O443" s="14">
        <f>N443/G443</f>
        <v>1.1453488372093024</v>
      </c>
      <c r="P443" s="14">
        <f>N443-G443</f>
        <v>2.5</v>
      </c>
      <c r="Q443" s="17">
        <f>IF(F443&lt;2,IF(M443&lt;2,0,1),1)</f>
        <v>0</v>
      </c>
      <c r="R443" s="18">
        <f>K443-D443</f>
        <v>0.25</v>
      </c>
      <c r="S443" s="17">
        <f>IF(R443&gt;0.09,1,0)</f>
        <v>1</v>
      </c>
      <c r="T443" s="35">
        <v>1</v>
      </c>
      <c r="U443" s="29"/>
      <c r="V443" s="17">
        <f>SUM(J443,Q443,S443,T443,U443)</f>
        <v>2</v>
      </c>
      <c r="W443" s="17">
        <v>2</v>
      </c>
      <c r="X443" s="17">
        <v>2</v>
      </c>
      <c r="Y443" s="37">
        <v>0</v>
      </c>
    </row>
    <row r="444" spans="1:25" s="19" customFormat="1" x14ac:dyDescent="0.25">
      <c r="A444" s="32">
        <v>63</v>
      </c>
      <c r="B444" s="32">
        <v>137</v>
      </c>
      <c r="C444" s="32">
        <v>111</v>
      </c>
      <c r="D444" s="33">
        <v>1</v>
      </c>
      <c r="E444" s="32"/>
      <c r="F444" s="32">
        <v>2</v>
      </c>
      <c r="G444" s="33">
        <v>19.3</v>
      </c>
      <c r="H444" s="32">
        <v>118</v>
      </c>
      <c r="I444" s="14">
        <f>H444/A444</f>
        <v>1.873015873015873</v>
      </c>
      <c r="J444" s="32">
        <v>0</v>
      </c>
      <c r="K444" s="33">
        <v>1</v>
      </c>
      <c r="L444" s="32"/>
      <c r="M444" s="32">
        <v>2</v>
      </c>
      <c r="N444" s="34">
        <v>21.5</v>
      </c>
      <c r="O444" s="14">
        <f>N444/G444</f>
        <v>1.1139896373056994</v>
      </c>
      <c r="P444" s="14">
        <f>N444-G444</f>
        <v>2.1999999999999993</v>
      </c>
      <c r="Q444" s="17">
        <f>IF(F444&lt;2,IF(M444&lt;2,0,1),1)</f>
        <v>1</v>
      </c>
      <c r="R444" s="18">
        <f>K444-D444</f>
        <v>0</v>
      </c>
      <c r="S444" s="17">
        <f>IF(R444&gt;0.09,1,0)</f>
        <v>0</v>
      </c>
      <c r="T444" s="35">
        <v>0</v>
      </c>
      <c r="U444" s="29"/>
      <c r="V444" s="17">
        <f>SUM(J444,Q444,S444,T444,U444)</f>
        <v>1</v>
      </c>
      <c r="W444" s="17">
        <v>2</v>
      </c>
      <c r="X444" s="17">
        <v>2</v>
      </c>
      <c r="Y444" s="37">
        <v>0</v>
      </c>
    </row>
    <row r="445" spans="1:25" s="19" customFormat="1" x14ac:dyDescent="0.25">
      <c r="A445" s="32">
        <v>49</v>
      </c>
      <c r="B445" s="32">
        <v>127</v>
      </c>
      <c r="C445" s="32">
        <v>84</v>
      </c>
      <c r="D445" s="33">
        <v>1.1200000000000001</v>
      </c>
      <c r="E445" s="32"/>
      <c r="F445" s="32">
        <v>0</v>
      </c>
      <c r="G445" s="33">
        <v>15.7</v>
      </c>
      <c r="H445" s="32">
        <v>130</v>
      </c>
      <c r="I445" s="14">
        <f>H445/A445</f>
        <v>2.6530612244897958</v>
      </c>
      <c r="J445" s="32">
        <v>0</v>
      </c>
      <c r="K445" s="33">
        <v>1.1200000000000001</v>
      </c>
      <c r="L445" s="32"/>
      <c r="M445" s="32">
        <v>0</v>
      </c>
      <c r="N445" s="34">
        <v>15</v>
      </c>
      <c r="O445" s="14">
        <f>N445/G445</f>
        <v>0.95541401273885351</v>
      </c>
      <c r="P445" s="14">
        <f>N445-G445</f>
        <v>-0.69999999999999929</v>
      </c>
      <c r="Q445" s="17">
        <f>IF(F445&lt;2,IF(M445&lt;2,0,1),1)</f>
        <v>0</v>
      </c>
      <c r="R445" s="18">
        <f>K445-D445</f>
        <v>0</v>
      </c>
      <c r="S445" s="17">
        <f>IF(R445&gt;0.09,1,0)</f>
        <v>0</v>
      </c>
      <c r="T445" s="35">
        <v>0</v>
      </c>
      <c r="U445" s="29"/>
      <c r="V445" s="17">
        <f>SUM(J445,Q445,S445,T445,U445)</f>
        <v>0</v>
      </c>
      <c r="W445" s="17">
        <v>0</v>
      </c>
      <c r="X445" s="17">
        <v>0</v>
      </c>
      <c r="Y445" s="37">
        <v>0</v>
      </c>
    </row>
    <row r="446" spans="1:25" s="19" customFormat="1" x14ac:dyDescent="0.25">
      <c r="A446" s="32">
        <v>68</v>
      </c>
      <c r="B446" s="32">
        <v>141</v>
      </c>
      <c r="C446" s="32">
        <v>98</v>
      </c>
      <c r="D446" s="33">
        <v>1</v>
      </c>
      <c r="E446" s="32"/>
      <c r="F446" s="32">
        <v>0</v>
      </c>
      <c r="G446" s="33">
        <v>20.5</v>
      </c>
      <c r="H446" s="32">
        <v>118</v>
      </c>
      <c r="I446" s="14">
        <f>H446/A446</f>
        <v>1.7352941176470589</v>
      </c>
      <c r="J446" s="32">
        <v>1</v>
      </c>
      <c r="K446" s="33">
        <v>1</v>
      </c>
      <c r="L446" s="32"/>
      <c r="M446" s="32">
        <v>0</v>
      </c>
      <c r="N446" s="34">
        <v>18.399999999999999</v>
      </c>
      <c r="O446" s="14">
        <f>N446/G446</f>
        <v>0.89756097560975601</v>
      </c>
      <c r="P446" s="14">
        <f>N446-G446</f>
        <v>-2.1000000000000014</v>
      </c>
      <c r="Q446" s="17">
        <f>IF(F446&lt;2,IF(M446&lt;2,0,1),1)</f>
        <v>0</v>
      </c>
      <c r="R446" s="18">
        <f>K446-D446</f>
        <v>0</v>
      </c>
      <c r="S446" s="17">
        <f>IF(R446&gt;0.09,1,0)</f>
        <v>0</v>
      </c>
      <c r="T446" s="35">
        <v>1</v>
      </c>
      <c r="U446" s="29"/>
      <c r="V446" s="17">
        <f>SUM(J446,Q446,S446,T446,U446)</f>
        <v>2</v>
      </c>
      <c r="W446" s="17">
        <v>2</v>
      </c>
      <c r="X446" s="17">
        <v>2</v>
      </c>
      <c r="Y446" s="37">
        <v>1</v>
      </c>
    </row>
    <row r="447" spans="1:25" s="19" customFormat="1" x14ac:dyDescent="0.25">
      <c r="A447" s="32">
        <v>53</v>
      </c>
      <c r="B447" s="32">
        <v>114</v>
      </c>
      <c r="C447" s="32">
        <v>73</v>
      </c>
      <c r="D447" s="33">
        <v>1</v>
      </c>
      <c r="E447" s="32"/>
      <c r="F447" s="32">
        <v>0</v>
      </c>
      <c r="G447" s="33">
        <v>21.2</v>
      </c>
      <c r="H447" s="32">
        <v>133</v>
      </c>
      <c r="I447" s="14">
        <f>H447/A447</f>
        <v>2.5094339622641511</v>
      </c>
      <c r="J447" s="32">
        <v>0</v>
      </c>
      <c r="K447" s="33">
        <v>1</v>
      </c>
      <c r="L447" s="32"/>
      <c r="M447" s="32">
        <v>0</v>
      </c>
      <c r="N447" s="34">
        <v>22.1</v>
      </c>
      <c r="O447" s="14">
        <f>N447/G447</f>
        <v>1.0424528301886793</v>
      </c>
      <c r="P447" s="14">
        <f>N447-G447</f>
        <v>0.90000000000000213</v>
      </c>
      <c r="Q447" s="17">
        <f>IF(F447&lt;2,IF(M447&lt;2,0,1),1)</f>
        <v>0</v>
      </c>
      <c r="R447" s="18">
        <f>K447-D447</f>
        <v>0</v>
      </c>
      <c r="S447" s="17">
        <f>IF(R447&gt;0.09,1,0)</f>
        <v>0</v>
      </c>
      <c r="T447" s="35">
        <v>1</v>
      </c>
      <c r="U447" s="29"/>
      <c r="V447" s="17">
        <f>SUM(J447,Q447,S447,T447,U447)</f>
        <v>1</v>
      </c>
      <c r="W447" s="17">
        <v>2</v>
      </c>
      <c r="X447" s="17">
        <v>3</v>
      </c>
      <c r="Y447" s="37">
        <v>0</v>
      </c>
    </row>
    <row r="448" spans="1:25" s="19" customFormat="1" x14ac:dyDescent="0.25">
      <c r="A448" s="32">
        <v>63</v>
      </c>
      <c r="B448" s="32">
        <v>95</v>
      </c>
      <c r="C448" s="32">
        <v>71</v>
      </c>
      <c r="D448" s="33">
        <v>1</v>
      </c>
      <c r="E448" s="32"/>
      <c r="F448" s="32">
        <v>4</v>
      </c>
      <c r="G448" s="33">
        <v>16</v>
      </c>
      <c r="H448" s="32">
        <v>133</v>
      </c>
      <c r="I448" s="14">
        <f>H448/A448</f>
        <v>2.1111111111111112</v>
      </c>
      <c r="J448" s="32">
        <v>0</v>
      </c>
      <c r="K448" s="33">
        <v>1</v>
      </c>
      <c r="L448" s="32"/>
      <c r="M448" s="32">
        <v>8</v>
      </c>
      <c r="N448" s="34">
        <v>20.7</v>
      </c>
      <c r="O448" s="14">
        <f>N448/G448</f>
        <v>1.29375</v>
      </c>
      <c r="P448" s="14">
        <f>N448-G448</f>
        <v>4.6999999999999993</v>
      </c>
      <c r="Q448" s="17">
        <f>IF(F448&lt;2,IF(M448&lt;2,0,1),1)</f>
        <v>1</v>
      </c>
      <c r="R448" s="18">
        <f>K448-D448</f>
        <v>0</v>
      </c>
      <c r="S448" s="17">
        <f>IF(R448&gt;0.09,1,0)</f>
        <v>0</v>
      </c>
      <c r="T448" s="35">
        <v>0</v>
      </c>
      <c r="U448" s="29"/>
      <c r="V448" s="17">
        <f>SUM(J448,Q448,S448,T448,U448)</f>
        <v>1</v>
      </c>
      <c r="W448" s="17">
        <v>2</v>
      </c>
      <c r="X448" s="17">
        <v>3</v>
      </c>
      <c r="Y448" s="37">
        <v>0</v>
      </c>
    </row>
    <row r="449" spans="1:25" s="19" customFormat="1" x14ac:dyDescent="0.25">
      <c r="A449" s="32">
        <v>79</v>
      </c>
      <c r="B449" s="32">
        <v>139</v>
      </c>
      <c r="C449" s="32">
        <v>98</v>
      </c>
      <c r="D449" s="33">
        <v>1.19</v>
      </c>
      <c r="E449" s="32"/>
      <c r="F449" s="32">
        <v>0</v>
      </c>
      <c r="G449" s="33">
        <v>18.3</v>
      </c>
      <c r="H449" s="32">
        <v>141</v>
      </c>
      <c r="I449" s="14">
        <f>H449/A449</f>
        <v>1.7848101265822784</v>
      </c>
      <c r="J449" s="32">
        <v>1</v>
      </c>
      <c r="K449" s="33">
        <v>1.31</v>
      </c>
      <c r="L449" s="32"/>
      <c r="M449" s="32">
        <v>0</v>
      </c>
      <c r="N449" s="34"/>
      <c r="O449" s="14"/>
      <c r="P449" s="14"/>
      <c r="Q449" s="17">
        <f>IF(F449&lt;2,IF(M449&lt;2,0,1),1)</f>
        <v>0</v>
      </c>
      <c r="R449" s="18">
        <f>K449-D449</f>
        <v>0.12000000000000011</v>
      </c>
      <c r="S449" s="17">
        <f>IF(R449&gt;0.09,1,0)</f>
        <v>1</v>
      </c>
      <c r="T449" s="35">
        <v>1</v>
      </c>
      <c r="U449" s="29"/>
      <c r="V449" s="17">
        <f>SUM(J449,Q449,S449,T449,U449)</f>
        <v>3</v>
      </c>
      <c r="W449" s="17">
        <v>4</v>
      </c>
      <c r="X449" s="17">
        <v>5</v>
      </c>
      <c r="Y449" s="37">
        <v>1</v>
      </c>
    </row>
    <row r="450" spans="1:25" s="19" customFormat="1" x14ac:dyDescent="0.25">
      <c r="A450" s="32">
        <v>74</v>
      </c>
      <c r="B450" s="32">
        <v>120</v>
      </c>
      <c r="C450" s="32">
        <v>80</v>
      </c>
      <c r="D450" s="33">
        <v>1</v>
      </c>
      <c r="E450" s="32"/>
      <c r="F450" s="32">
        <v>0</v>
      </c>
      <c r="G450" s="33">
        <v>22.8</v>
      </c>
      <c r="H450" s="32">
        <v>118</v>
      </c>
      <c r="I450" s="14">
        <f>H450/A450</f>
        <v>1.5945945945945945</v>
      </c>
      <c r="J450" s="32">
        <v>1</v>
      </c>
      <c r="K450" s="33">
        <v>1.19</v>
      </c>
      <c r="L450" s="32"/>
      <c r="M450" s="32">
        <v>0</v>
      </c>
      <c r="N450" s="34">
        <v>20.3</v>
      </c>
      <c r="O450" s="14">
        <f>N450/G450</f>
        <v>0.89035087719298245</v>
      </c>
      <c r="P450" s="14">
        <f>N450-G450</f>
        <v>-2.5</v>
      </c>
      <c r="Q450" s="17">
        <f>IF(F450&lt;2,IF(M450&lt;2,0,1),1)</f>
        <v>0</v>
      </c>
      <c r="R450" s="18">
        <f>K450-D450</f>
        <v>0.18999999999999995</v>
      </c>
      <c r="S450" s="17">
        <f>IF(R450&gt;0.09,1,0)</f>
        <v>1</v>
      </c>
      <c r="T450" s="35">
        <v>1</v>
      </c>
      <c r="U450" s="29"/>
      <c r="V450" s="17">
        <f>SUM(J450,Q450,S450,T450,U450)</f>
        <v>3</v>
      </c>
      <c r="W450" s="17">
        <v>4</v>
      </c>
      <c r="X450" s="17">
        <v>5</v>
      </c>
      <c r="Y450" s="37">
        <v>0</v>
      </c>
    </row>
    <row r="451" spans="1:25" s="19" customFormat="1" x14ac:dyDescent="0.25">
      <c r="A451" s="32">
        <v>63</v>
      </c>
      <c r="B451" s="32">
        <v>124</v>
      </c>
      <c r="C451" s="32">
        <v>77</v>
      </c>
      <c r="D451" s="33">
        <v>1</v>
      </c>
      <c r="E451" s="32"/>
      <c r="F451" s="32">
        <v>1</v>
      </c>
      <c r="G451" s="33">
        <v>14.1</v>
      </c>
      <c r="H451" s="32">
        <v>110</v>
      </c>
      <c r="I451" s="14">
        <f>H451/A451</f>
        <v>1.746031746031746</v>
      </c>
      <c r="J451" s="32">
        <v>1</v>
      </c>
      <c r="K451" s="33">
        <v>1.1200000000000001</v>
      </c>
      <c r="L451" s="32"/>
      <c r="M451" s="32">
        <v>1</v>
      </c>
      <c r="N451" s="34">
        <v>16.8</v>
      </c>
      <c r="O451" s="14">
        <f>N451/G451</f>
        <v>1.1914893617021278</v>
      </c>
      <c r="P451" s="14">
        <f>N451-G451</f>
        <v>2.7000000000000011</v>
      </c>
      <c r="Q451" s="17">
        <f>IF(F451&lt;2,IF(M451&lt;2,0,1),1)</f>
        <v>0</v>
      </c>
      <c r="R451" s="18">
        <f>K451-D451</f>
        <v>0.12000000000000011</v>
      </c>
      <c r="S451" s="17">
        <f>IF(R451&gt;0.09,1,0)</f>
        <v>1</v>
      </c>
      <c r="T451" s="35">
        <v>1</v>
      </c>
      <c r="U451" s="29"/>
      <c r="V451" s="17">
        <f>SUM(J451,Q451,S451,T451,U451)</f>
        <v>3</v>
      </c>
      <c r="W451" s="17">
        <v>4</v>
      </c>
      <c r="X451" s="17">
        <v>4</v>
      </c>
      <c r="Y451" s="37">
        <v>1</v>
      </c>
    </row>
    <row r="452" spans="1:25" s="19" customFormat="1" x14ac:dyDescent="0.25">
      <c r="A452" s="32">
        <v>71</v>
      </c>
      <c r="B452" s="32">
        <v>129</v>
      </c>
      <c r="C452" s="32">
        <v>78</v>
      </c>
      <c r="D452" s="33">
        <v>1</v>
      </c>
      <c r="E452" s="32"/>
      <c r="F452" s="32">
        <v>2</v>
      </c>
      <c r="G452" s="33">
        <v>17.8</v>
      </c>
      <c r="H452" s="32">
        <v>102</v>
      </c>
      <c r="I452" s="14">
        <f>H452/A452</f>
        <v>1.4366197183098592</v>
      </c>
      <c r="J452" s="32">
        <v>1</v>
      </c>
      <c r="K452" s="33">
        <v>1.1200000000000001</v>
      </c>
      <c r="L452" s="32"/>
      <c r="M452" s="32">
        <v>6</v>
      </c>
      <c r="N452" s="34">
        <v>20.2</v>
      </c>
      <c r="O452" s="14">
        <f>N452/G452</f>
        <v>1.1348314606741572</v>
      </c>
      <c r="P452" s="14">
        <f>N452-G452</f>
        <v>2.3999999999999986</v>
      </c>
      <c r="Q452" s="17">
        <f>IF(F452&lt;2,IF(M452&lt;2,0,1),1)</f>
        <v>1</v>
      </c>
      <c r="R452" s="18">
        <f>K452-D452</f>
        <v>0.12000000000000011</v>
      </c>
      <c r="S452" s="17">
        <f>IF(R452&gt;0.09,1,0)</f>
        <v>1</v>
      </c>
      <c r="T452" s="35">
        <v>1</v>
      </c>
      <c r="U452" s="29"/>
      <c r="V452" s="17">
        <f>SUM(J452,Q452,S452,T452,U452)</f>
        <v>4</v>
      </c>
      <c r="W452" s="17">
        <v>5</v>
      </c>
      <c r="X452" s="17">
        <v>5</v>
      </c>
      <c r="Y452" s="37">
        <v>0</v>
      </c>
    </row>
    <row r="453" spans="1:25" s="19" customFormat="1" x14ac:dyDescent="0.25">
      <c r="A453" s="32">
        <v>71</v>
      </c>
      <c r="B453" s="32">
        <v>149</v>
      </c>
      <c r="C453" s="32">
        <v>77</v>
      </c>
      <c r="D453" s="33">
        <v>1.62</v>
      </c>
      <c r="E453" s="32"/>
      <c r="F453" s="32">
        <v>0</v>
      </c>
      <c r="G453" s="33">
        <v>15.1</v>
      </c>
      <c r="H453" s="32">
        <v>117</v>
      </c>
      <c r="I453" s="14">
        <f>H453/A453</f>
        <v>1.647887323943662</v>
      </c>
      <c r="J453" s="32">
        <v>1</v>
      </c>
      <c r="K453" s="33">
        <v>1.5</v>
      </c>
      <c r="L453" s="32"/>
      <c r="M453" s="32">
        <v>10</v>
      </c>
      <c r="N453" s="34">
        <v>8.9</v>
      </c>
      <c r="O453" s="14">
        <f>N453/G453</f>
        <v>0.58940397350993379</v>
      </c>
      <c r="P453" s="14">
        <f>N453-G453</f>
        <v>-6.1999999999999993</v>
      </c>
      <c r="Q453" s="17">
        <f>IF(F453&lt;2,IF(M453&lt;2,0,1),1)</f>
        <v>1</v>
      </c>
      <c r="R453" s="18">
        <f>K453-D453</f>
        <v>-0.12000000000000011</v>
      </c>
      <c r="S453" s="17">
        <v>1</v>
      </c>
      <c r="T453" s="35">
        <v>1</v>
      </c>
      <c r="U453" s="29"/>
      <c r="V453" s="17">
        <f>SUM(J453,Q453,S453,T453,U453)</f>
        <v>4</v>
      </c>
      <c r="W453" s="17">
        <v>5</v>
      </c>
      <c r="X453" s="17">
        <v>5</v>
      </c>
      <c r="Y453" s="37">
        <v>0</v>
      </c>
    </row>
    <row r="454" spans="1:25" s="19" customFormat="1" x14ac:dyDescent="0.25">
      <c r="A454" s="32">
        <v>59</v>
      </c>
      <c r="B454" s="32">
        <v>131</v>
      </c>
      <c r="C454" s="32">
        <v>61</v>
      </c>
      <c r="D454" s="33">
        <v>1</v>
      </c>
      <c r="E454" s="32"/>
      <c r="F454" s="32">
        <v>0</v>
      </c>
      <c r="G454" s="33">
        <v>21.2</v>
      </c>
      <c r="H454" s="32">
        <v>111</v>
      </c>
      <c r="I454" s="14">
        <f>H454/A454</f>
        <v>1.8813559322033899</v>
      </c>
      <c r="J454" s="32">
        <v>0</v>
      </c>
      <c r="K454" s="33">
        <v>1</v>
      </c>
      <c r="L454" s="32"/>
      <c r="M454" s="32">
        <v>0</v>
      </c>
      <c r="N454" s="34">
        <v>24.4</v>
      </c>
      <c r="O454" s="14">
        <f>N454/G454</f>
        <v>1.1509433962264151</v>
      </c>
      <c r="P454" s="14">
        <f>N454-G454</f>
        <v>3.1999999999999993</v>
      </c>
      <c r="Q454" s="17">
        <f>IF(F454&lt;2,IF(M454&lt;2,0,1),1)</f>
        <v>0</v>
      </c>
      <c r="R454" s="18">
        <f>K454-D454</f>
        <v>0</v>
      </c>
      <c r="S454" s="17">
        <f>IF(R454&gt;0.09,1,0)</f>
        <v>0</v>
      </c>
      <c r="T454" s="35">
        <v>1</v>
      </c>
      <c r="U454" s="29"/>
      <c r="V454" s="17">
        <f>SUM(J454,Q454,S454,T454,U454)</f>
        <v>1</v>
      </c>
      <c r="W454" s="17">
        <v>2</v>
      </c>
      <c r="X454" s="17">
        <v>2</v>
      </c>
      <c r="Y454" s="37">
        <v>0</v>
      </c>
    </row>
    <row r="455" spans="1:25" s="19" customFormat="1" x14ac:dyDescent="0.25">
      <c r="A455" s="32">
        <v>93</v>
      </c>
      <c r="B455" s="32">
        <v>106</v>
      </c>
      <c r="C455" s="32">
        <v>65</v>
      </c>
      <c r="D455" s="33">
        <v>1</v>
      </c>
      <c r="E455" s="32"/>
      <c r="F455" s="32">
        <v>0</v>
      </c>
      <c r="G455" s="33">
        <v>14.9</v>
      </c>
      <c r="H455" s="32">
        <v>146</v>
      </c>
      <c r="I455" s="14">
        <f>H455/A455</f>
        <v>1.5698924731182795</v>
      </c>
      <c r="J455" s="32">
        <v>1</v>
      </c>
      <c r="K455" s="33">
        <v>1</v>
      </c>
      <c r="L455" s="32"/>
      <c r="M455" s="32">
        <v>0</v>
      </c>
      <c r="N455" s="34">
        <v>11.1</v>
      </c>
      <c r="O455" s="14">
        <f>N455/G455</f>
        <v>0.74496644295302006</v>
      </c>
      <c r="P455" s="14">
        <f>N455-G455</f>
        <v>-3.8000000000000007</v>
      </c>
      <c r="Q455" s="17">
        <f>IF(F455&lt;2,IF(M455&lt;2,0,1),1)</f>
        <v>0</v>
      </c>
      <c r="R455" s="18">
        <f>K455-D455</f>
        <v>0</v>
      </c>
      <c r="S455" s="17">
        <f>IF(R455&gt;0.09,1,0)</f>
        <v>0</v>
      </c>
      <c r="T455" s="35">
        <v>0</v>
      </c>
      <c r="U455" s="29"/>
      <c r="V455" s="17">
        <f>SUM(J455,Q455,S455,T455,U455)</f>
        <v>1</v>
      </c>
      <c r="W455" s="17">
        <v>1</v>
      </c>
      <c r="X455" s="17">
        <v>1</v>
      </c>
      <c r="Y455" s="37">
        <v>0</v>
      </c>
    </row>
    <row r="456" spans="1:25" s="19" customFormat="1" x14ac:dyDescent="0.25">
      <c r="A456" s="32">
        <v>68</v>
      </c>
      <c r="B456" s="32">
        <v>126</v>
      </c>
      <c r="C456" s="32">
        <v>80</v>
      </c>
      <c r="D456" s="33">
        <v>1</v>
      </c>
      <c r="E456" s="32">
        <v>22</v>
      </c>
      <c r="F456" s="32">
        <v>1</v>
      </c>
      <c r="G456" s="33">
        <v>18</v>
      </c>
      <c r="H456" s="32">
        <v>120</v>
      </c>
      <c r="I456" s="14">
        <f>H456/A456</f>
        <v>1.7647058823529411</v>
      </c>
      <c r="J456" s="32">
        <v>1</v>
      </c>
      <c r="K456" s="33">
        <v>1.19</v>
      </c>
      <c r="L456" s="32">
        <v>42</v>
      </c>
      <c r="M456" s="32">
        <v>0</v>
      </c>
      <c r="N456" s="34">
        <v>20.100000000000001</v>
      </c>
      <c r="O456" s="14">
        <f>N456/G456</f>
        <v>1.1166666666666667</v>
      </c>
      <c r="P456" s="14">
        <f>N456-G456</f>
        <v>2.1000000000000014</v>
      </c>
      <c r="Q456" s="17">
        <f>IF(F456&lt;2,IF(M456&lt;2,0,1),1)</f>
        <v>0</v>
      </c>
      <c r="R456" s="18">
        <f>K456-D456</f>
        <v>0.18999999999999995</v>
      </c>
      <c r="S456" s="17">
        <f>IF(R456&gt;0.09,1,0)</f>
        <v>1</v>
      </c>
      <c r="T456" s="35">
        <v>0</v>
      </c>
      <c r="U456" s="29">
        <v>1</v>
      </c>
      <c r="V456" s="35">
        <f>SUM(J456,Q456,S456,T456,U456)</f>
        <v>3</v>
      </c>
      <c r="W456" s="35">
        <v>4</v>
      </c>
      <c r="X456" s="35">
        <v>4</v>
      </c>
      <c r="Y456" s="37">
        <v>0</v>
      </c>
    </row>
    <row r="457" spans="1:25" s="19" customFormat="1" x14ac:dyDescent="0.25">
      <c r="A457" s="26">
        <v>60</v>
      </c>
      <c r="B457" s="26">
        <v>151</v>
      </c>
      <c r="C457" s="26">
        <v>89</v>
      </c>
      <c r="D457" s="27">
        <v>1</v>
      </c>
      <c r="E457" s="26">
        <v>35</v>
      </c>
      <c r="F457" s="26">
        <v>4</v>
      </c>
      <c r="G457" s="27">
        <v>17.8</v>
      </c>
      <c r="H457" s="26">
        <v>133</v>
      </c>
      <c r="I457" s="14">
        <f>H457/A457</f>
        <v>2.2166666666666668</v>
      </c>
      <c r="J457" s="26">
        <v>0</v>
      </c>
      <c r="K457" s="27">
        <v>1</v>
      </c>
      <c r="L457" s="26">
        <v>59</v>
      </c>
      <c r="M457" s="26">
        <v>3</v>
      </c>
      <c r="N457" s="28">
        <v>21.3</v>
      </c>
      <c r="O457" s="14">
        <f>N457/G457</f>
        <v>1.196629213483146</v>
      </c>
      <c r="P457" s="14">
        <f>N457-G457</f>
        <v>3.5</v>
      </c>
      <c r="Q457" s="17">
        <f>IF(F457&lt;2,IF(M457&lt;2,0,1),1)</f>
        <v>1</v>
      </c>
      <c r="R457" s="18">
        <f>K457-D457</f>
        <v>0</v>
      </c>
      <c r="S457" s="17">
        <f>IF(R457&gt;0.09,1,0)</f>
        <v>0</v>
      </c>
      <c r="T457" s="35">
        <v>0</v>
      </c>
      <c r="U457" s="29">
        <v>1</v>
      </c>
      <c r="V457" s="29">
        <f>SUM(J457,Q457,S457,T457,U457)</f>
        <v>2</v>
      </c>
      <c r="W457" s="29">
        <v>3</v>
      </c>
      <c r="X457" s="29">
        <v>4</v>
      </c>
      <c r="Y457" s="37">
        <v>0</v>
      </c>
    </row>
    <row r="458" spans="1:25" s="19" customFormat="1" x14ac:dyDescent="0.25">
      <c r="A458" s="26">
        <v>59</v>
      </c>
      <c r="B458" s="26">
        <v>142</v>
      </c>
      <c r="C458" s="26">
        <v>78</v>
      </c>
      <c r="D458" s="27">
        <v>1</v>
      </c>
      <c r="E458" s="26">
        <v>8</v>
      </c>
      <c r="F458" s="26">
        <v>5</v>
      </c>
      <c r="G458" s="27">
        <v>14.6</v>
      </c>
      <c r="H458" s="26">
        <v>116</v>
      </c>
      <c r="I458" s="14">
        <f>H458/A458</f>
        <v>1.9661016949152543</v>
      </c>
      <c r="J458" s="26">
        <v>0</v>
      </c>
      <c r="K458" s="27">
        <v>1</v>
      </c>
      <c r="L458" s="26">
        <v>19</v>
      </c>
      <c r="M458" s="26">
        <v>3</v>
      </c>
      <c r="N458" s="28">
        <v>18</v>
      </c>
      <c r="O458" s="14">
        <f>N458/G458</f>
        <v>1.2328767123287672</v>
      </c>
      <c r="P458" s="14">
        <f>N458-G458</f>
        <v>3.4000000000000004</v>
      </c>
      <c r="Q458" s="17">
        <f>IF(F458&lt;2,IF(M458&lt;2,0,1),1)</f>
        <v>1</v>
      </c>
      <c r="R458" s="18">
        <f>K458-D458</f>
        <v>0</v>
      </c>
      <c r="S458" s="17">
        <f>IF(R458&gt;0.09,1,0)</f>
        <v>0</v>
      </c>
      <c r="T458" s="35">
        <v>0</v>
      </c>
      <c r="U458" s="29">
        <v>0</v>
      </c>
      <c r="V458" s="29">
        <f>SUM(J458,Q458,S458,T458,U458)</f>
        <v>1</v>
      </c>
      <c r="W458" s="29">
        <v>1</v>
      </c>
      <c r="X458" s="29">
        <v>1</v>
      </c>
      <c r="Y458" s="37">
        <v>0</v>
      </c>
    </row>
    <row r="459" spans="1:25" s="19" customFormat="1" x14ac:dyDescent="0.25">
      <c r="A459" s="26">
        <v>71</v>
      </c>
      <c r="B459" s="26">
        <v>122</v>
      </c>
      <c r="C459" s="26">
        <v>78</v>
      </c>
      <c r="D459" s="27">
        <v>1</v>
      </c>
      <c r="E459" s="26">
        <v>26</v>
      </c>
      <c r="F459" s="26">
        <v>4</v>
      </c>
      <c r="G459" s="27">
        <v>18.8</v>
      </c>
      <c r="H459" s="26">
        <v>137</v>
      </c>
      <c r="I459" s="14">
        <f>H459/A459</f>
        <v>1.9295774647887325</v>
      </c>
      <c r="J459" s="26">
        <v>0</v>
      </c>
      <c r="K459" s="27">
        <v>1</v>
      </c>
      <c r="L459" s="26">
        <v>40</v>
      </c>
      <c r="M459" s="26">
        <v>3</v>
      </c>
      <c r="N459" s="28">
        <v>21.4</v>
      </c>
      <c r="O459" s="14">
        <f>N459/G459</f>
        <v>1.1382978723404253</v>
      </c>
      <c r="P459" s="14">
        <f>N459-G459</f>
        <v>2.5999999999999979</v>
      </c>
      <c r="Q459" s="17">
        <f>IF(F459&lt;2,IF(M459&lt;2,0,1),1)</f>
        <v>1</v>
      </c>
      <c r="R459" s="18">
        <f>K459-D459</f>
        <v>0</v>
      </c>
      <c r="S459" s="17">
        <f>IF(R459&gt;0.09,1,0)</f>
        <v>0</v>
      </c>
      <c r="T459" s="35">
        <v>0</v>
      </c>
      <c r="U459" s="29">
        <v>1</v>
      </c>
      <c r="V459" s="29">
        <f>SUM(J459,Q459,S459,T459,U459)</f>
        <v>2</v>
      </c>
      <c r="W459" s="29">
        <v>3</v>
      </c>
      <c r="X459" s="29">
        <v>4</v>
      </c>
      <c r="Y459" s="37">
        <v>0</v>
      </c>
    </row>
    <row r="460" spans="1:25" s="1" customFormat="1" x14ac:dyDescent="0.25">
      <c r="A460" s="37">
        <v>56</v>
      </c>
      <c r="B460" s="37">
        <v>115</v>
      </c>
      <c r="C460" s="37">
        <v>87</v>
      </c>
      <c r="D460" s="38">
        <v>1.1200000000000001</v>
      </c>
      <c r="E460" s="37">
        <v>14</v>
      </c>
      <c r="F460" s="37">
        <v>1</v>
      </c>
      <c r="G460" s="38">
        <v>11.5</v>
      </c>
      <c r="H460" s="37">
        <v>121</v>
      </c>
      <c r="I460" s="14">
        <f>H460/A460</f>
        <v>2.1607142857142856</v>
      </c>
      <c r="J460" s="37">
        <v>0</v>
      </c>
      <c r="K460" s="38">
        <v>1.1200000000000001</v>
      </c>
      <c r="L460" s="37">
        <v>25</v>
      </c>
      <c r="M460" s="37">
        <v>0</v>
      </c>
      <c r="N460" s="39">
        <v>17.7</v>
      </c>
      <c r="O460" s="14">
        <f>N460/G460</f>
        <v>1.5391304347826087</v>
      </c>
      <c r="P460" s="14">
        <f>N460-G460</f>
        <v>6.1999999999999993</v>
      </c>
      <c r="Q460" s="17">
        <f>IF(F460&lt;2,IF(M460&lt;2,0,1),1)</f>
        <v>0</v>
      </c>
      <c r="R460" s="18">
        <f>K460-D460</f>
        <v>0</v>
      </c>
      <c r="S460" s="17">
        <f>IF(R460&gt;0.09,1,0)</f>
        <v>0</v>
      </c>
      <c r="T460" s="35">
        <v>0</v>
      </c>
      <c r="U460" s="6">
        <v>1</v>
      </c>
      <c r="V460" s="6">
        <f>SUM(J460,Q460,S460,T460,U460)</f>
        <v>1</v>
      </c>
      <c r="W460" s="6">
        <v>1</v>
      </c>
      <c r="X460" s="6">
        <v>1</v>
      </c>
      <c r="Y460" s="37">
        <v>0</v>
      </c>
    </row>
    <row r="461" spans="1:25" s="1" customFormat="1" x14ac:dyDescent="0.25">
      <c r="A461" s="37">
        <v>82</v>
      </c>
      <c r="B461" s="37">
        <v>146</v>
      </c>
      <c r="C461" s="37">
        <v>66</v>
      </c>
      <c r="D461" s="38">
        <v>1</v>
      </c>
      <c r="E461" s="37">
        <v>104</v>
      </c>
      <c r="F461" s="37">
        <v>0</v>
      </c>
      <c r="G461" s="38">
        <v>15.6</v>
      </c>
      <c r="H461" s="37">
        <v>100</v>
      </c>
      <c r="I461" s="14">
        <f>H461/A461</f>
        <v>1.2195121951219512</v>
      </c>
      <c r="J461" s="37">
        <v>1</v>
      </c>
      <c r="K461" s="38">
        <v>1.1200000000000001</v>
      </c>
      <c r="L461" s="37">
        <v>64</v>
      </c>
      <c r="M461" s="37">
        <v>0</v>
      </c>
      <c r="N461" s="39">
        <v>16.3</v>
      </c>
      <c r="O461" s="14">
        <f>N461/G461</f>
        <v>1.0448717948717949</v>
      </c>
      <c r="P461" s="14">
        <f>N461-G461</f>
        <v>0.70000000000000107</v>
      </c>
      <c r="Q461" s="17"/>
      <c r="R461" s="18">
        <f>K461-D461</f>
        <v>0.12000000000000011</v>
      </c>
      <c r="S461" s="17">
        <f>IF(R461&gt;0.09,1,0)</f>
        <v>1</v>
      </c>
      <c r="T461" s="35">
        <v>0</v>
      </c>
      <c r="U461" s="6">
        <v>1</v>
      </c>
      <c r="V461" s="6">
        <f>SUM(J461,Q461,S461,T461,U461)</f>
        <v>3</v>
      </c>
      <c r="W461" s="6">
        <v>4</v>
      </c>
      <c r="X461" s="6">
        <v>5</v>
      </c>
      <c r="Y461" s="37">
        <v>1</v>
      </c>
    </row>
    <row r="462" spans="1:25" s="1" customFormat="1" x14ac:dyDescent="0.25">
      <c r="A462" s="37">
        <v>71</v>
      </c>
      <c r="B462" s="37">
        <v>127</v>
      </c>
      <c r="C462" s="37">
        <v>68</v>
      </c>
      <c r="D462" s="38">
        <v>1</v>
      </c>
      <c r="E462" s="37">
        <v>21</v>
      </c>
      <c r="F462" s="37">
        <v>4</v>
      </c>
      <c r="G462" s="38">
        <v>12.8</v>
      </c>
      <c r="H462" s="37">
        <v>125</v>
      </c>
      <c r="I462" s="14">
        <f>H462/A462</f>
        <v>1.7605633802816902</v>
      </c>
      <c r="J462" s="37">
        <v>1</v>
      </c>
      <c r="K462" s="38">
        <v>1.19</v>
      </c>
      <c r="L462" s="37">
        <v>38</v>
      </c>
      <c r="M462" s="37">
        <v>7</v>
      </c>
      <c r="N462" s="39">
        <v>16.8</v>
      </c>
      <c r="O462" s="14">
        <f>N462/G462</f>
        <v>1.3125</v>
      </c>
      <c r="P462" s="14">
        <f>N462-G462</f>
        <v>4</v>
      </c>
      <c r="Q462" s="17">
        <f>IF(F462&lt;2,IF(M462&lt;2,0,1),1)</f>
        <v>1</v>
      </c>
      <c r="R462" s="18">
        <f>K462-D462</f>
        <v>0.18999999999999995</v>
      </c>
      <c r="S462" s="17">
        <f>IF(R462&gt;0.09,1,0)</f>
        <v>1</v>
      </c>
      <c r="T462" s="35">
        <v>0</v>
      </c>
      <c r="U462" s="6">
        <v>1</v>
      </c>
      <c r="V462" s="6">
        <f>SUM(J462,Q462,S462,T462,U462)</f>
        <v>4</v>
      </c>
      <c r="W462" s="6">
        <v>5</v>
      </c>
      <c r="X462" s="6">
        <v>6</v>
      </c>
      <c r="Y462" s="37">
        <v>0</v>
      </c>
    </row>
    <row r="463" spans="1:25" s="1" customFormat="1" x14ac:dyDescent="0.25">
      <c r="A463" s="37">
        <v>71</v>
      </c>
      <c r="B463" s="37">
        <v>135</v>
      </c>
      <c r="C463" s="37">
        <v>95</v>
      </c>
      <c r="D463" s="38">
        <v>1</v>
      </c>
      <c r="E463" s="37">
        <v>13</v>
      </c>
      <c r="F463" s="37">
        <v>0</v>
      </c>
      <c r="G463" s="38">
        <v>14.1</v>
      </c>
      <c r="H463" s="37">
        <v>141</v>
      </c>
      <c r="I463" s="14">
        <f>H463/A463</f>
        <v>1.9859154929577465</v>
      </c>
      <c r="J463" s="37">
        <v>0</v>
      </c>
      <c r="K463" s="38">
        <v>1</v>
      </c>
      <c r="L463" s="37">
        <v>26</v>
      </c>
      <c r="M463" s="37">
        <v>0</v>
      </c>
      <c r="N463" s="39">
        <v>18.7</v>
      </c>
      <c r="O463" s="14">
        <f>N463/G463</f>
        <v>1.3262411347517731</v>
      </c>
      <c r="P463" s="14">
        <f>N463-G463</f>
        <v>4.5999999999999996</v>
      </c>
      <c r="Q463" s="17">
        <f>IF(F463&lt;2,IF(M463&lt;2,0,1),1)</f>
        <v>0</v>
      </c>
      <c r="R463" s="18">
        <f>K463-D463</f>
        <v>0</v>
      </c>
      <c r="S463" s="17">
        <f>IF(R463&gt;0.09,1,0)</f>
        <v>0</v>
      </c>
      <c r="T463" s="35">
        <v>0</v>
      </c>
      <c r="U463" s="6">
        <v>1</v>
      </c>
      <c r="V463" s="6">
        <f>SUM(J463,Q463,S463,T463,U463)</f>
        <v>1</v>
      </c>
      <c r="W463" s="6">
        <v>2</v>
      </c>
      <c r="X463" s="6">
        <v>3</v>
      </c>
      <c r="Y463" s="37">
        <v>0</v>
      </c>
    </row>
    <row r="464" spans="1:25" s="1" customFormat="1" x14ac:dyDescent="0.25">
      <c r="A464" s="37">
        <v>69</v>
      </c>
      <c r="B464" s="37">
        <v>143</v>
      </c>
      <c r="C464" s="37">
        <v>102</v>
      </c>
      <c r="D464" s="38">
        <v>1.1200000000000001</v>
      </c>
      <c r="E464" s="37">
        <v>19</v>
      </c>
      <c r="F464" s="37">
        <v>6</v>
      </c>
      <c r="G464" s="38">
        <v>15.3</v>
      </c>
      <c r="H464" s="37">
        <v>93</v>
      </c>
      <c r="I464" s="14">
        <f>H464/A464</f>
        <v>1.3478260869565217</v>
      </c>
      <c r="J464" s="37">
        <v>1</v>
      </c>
      <c r="K464" s="38">
        <v>1.31</v>
      </c>
      <c r="L464" s="37">
        <v>24</v>
      </c>
      <c r="M464" s="37">
        <v>3</v>
      </c>
      <c r="N464" s="39">
        <v>18.399999999999999</v>
      </c>
      <c r="O464" s="14">
        <f>N464/G464</f>
        <v>1.2026143790849673</v>
      </c>
      <c r="P464" s="14">
        <f>N464-G464</f>
        <v>3.0999999999999979</v>
      </c>
      <c r="Q464" s="17">
        <f>IF(F464&lt;2,IF(M464&lt;2,0,1),1)</f>
        <v>1</v>
      </c>
      <c r="R464" s="18">
        <f>K464-D464</f>
        <v>0.18999999999999995</v>
      </c>
      <c r="S464" s="17">
        <f>IF(R464&gt;0.09,1,0)</f>
        <v>1</v>
      </c>
      <c r="T464" s="35">
        <v>0</v>
      </c>
      <c r="U464" s="6">
        <v>1</v>
      </c>
      <c r="V464" s="6">
        <f>SUM(J464,Q464,S464,T464,U464)</f>
        <v>4</v>
      </c>
      <c r="W464" s="6">
        <v>5</v>
      </c>
      <c r="X464" s="6">
        <v>6</v>
      </c>
      <c r="Y464" s="37">
        <v>1</v>
      </c>
    </row>
    <row r="465" spans="1:25" x14ac:dyDescent="0.25">
      <c r="A465" s="2">
        <v>68</v>
      </c>
      <c r="B465" s="2">
        <v>124</v>
      </c>
      <c r="C465" s="2">
        <v>97</v>
      </c>
      <c r="D465" s="4">
        <v>1</v>
      </c>
      <c r="E465" s="2">
        <v>26</v>
      </c>
      <c r="F465" s="2">
        <v>0</v>
      </c>
      <c r="G465" s="4">
        <v>12.3</v>
      </c>
      <c r="H465" s="2">
        <v>131</v>
      </c>
      <c r="I465" s="14">
        <f>H465/A465</f>
        <v>1.9264705882352942</v>
      </c>
      <c r="J465" s="2">
        <v>0</v>
      </c>
      <c r="K465" s="4">
        <v>1</v>
      </c>
      <c r="L465" s="2">
        <v>43</v>
      </c>
      <c r="M465" s="2">
        <v>2</v>
      </c>
      <c r="O465" s="14"/>
      <c r="P465" s="14"/>
      <c r="Q465" s="17">
        <f>IF(F465&lt;2,IF(M465&lt;2,0,1),1)</f>
        <v>1</v>
      </c>
      <c r="R465" s="18">
        <f>K465-D465</f>
        <v>0</v>
      </c>
      <c r="S465" s="17">
        <f>IF(R465&gt;0.09,1,0)</f>
        <v>0</v>
      </c>
      <c r="T465" s="35">
        <v>0</v>
      </c>
      <c r="U465" s="6">
        <v>1</v>
      </c>
      <c r="V465" s="6">
        <f>SUM(J465,Q465,S465,T465,U465)</f>
        <v>2</v>
      </c>
      <c r="W465" s="6">
        <v>3</v>
      </c>
      <c r="X465" s="6">
        <v>4</v>
      </c>
      <c r="Y465" s="37">
        <v>0</v>
      </c>
    </row>
    <row r="466" spans="1:25" x14ac:dyDescent="0.25">
      <c r="A466" s="2">
        <v>77</v>
      </c>
      <c r="B466" s="2">
        <v>140</v>
      </c>
      <c r="C466" s="2">
        <v>74</v>
      </c>
      <c r="D466" s="4">
        <v>1</v>
      </c>
      <c r="E466" s="2">
        <v>18</v>
      </c>
      <c r="F466" s="2">
        <v>0</v>
      </c>
      <c r="G466" s="4">
        <v>13</v>
      </c>
      <c r="H466" s="2">
        <v>121</v>
      </c>
      <c r="I466" s="14">
        <f>H466/A466</f>
        <v>1.5714285714285714</v>
      </c>
      <c r="J466" s="2">
        <v>1</v>
      </c>
      <c r="K466" s="4">
        <v>1</v>
      </c>
      <c r="L466" s="2">
        <v>38</v>
      </c>
      <c r="M466" s="2">
        <v>0</v>
      </c>
      <c r="N466" s="5">
        <v>20.5</v>
      </c>
      <c r="O466" s="14">
        <f>N466/G466</f>
        <v>1.5769230769230769</v>
      </c>
      <c r="P466" s="14">
        <f>N466-G466</f>
        <v>7.5</v>
      </c>
      <c r="Q466" s="17">
        <f>IF(F466&lt;2,IF(M466&lt;2,0,1),1)</f>
        <v>0</v>
      </c>
      <c r="R466" s="18">
        <f>K466-D466</f>
        <v>0</v>
      </c>
      <c r="S466" s="17">
        <f>IF(R466&gt;0.09,1,0)</f>
        <v>0</v>
      </c>
      <c r="T466" s="35">
        <v>0</v>
      </c>
      <c r="U466" s="6">
        <v>0</v>
      </c>
      <c r="V466" s="6">
        <f>SUM(J466,Q466,S466,T466,U466)</f>
        <v>1</v>
      </c>
      <c r="W466" s="6">
        <v>2</v>
      </c>
      <c r="X466" s="6">
        <v>3</v>
      </c>
      <c r="Y466" s="37">
        <v>0</v>
      </c>
    </row>
    <row r="467" spans="1:25" x14ac:dyDescent="0.25">
      <c r="A467" s="2">
        <v>53</v>
      </c>
      <c r="B467" s="2">
        <v>120</v>
      </c>
      <c r="C467" s="2">
        <v>80</v>
      </c>
      <c r="D467" s="4">
        <v>1</v>
      </c>
      <c r="E467" s="2">
        <v>47</v>
      </c>
      <c r="G467" s="4">
        <v>10.9</v>
      </c>
      <c r="H467" s="2">
        <v>79</v>
      </c>
      <c r="I467" s="14">
        <f>H467/A467</f>
        <v>1.4905660377358489</v>
      </c>
      <c r="J467" s="2">
        <v>1</v>
      </c>
      <c r="K467" s="4">
        <v>1</v>
      </c>
      <c r="L467" s="2">
        <v>56</v>
      </c>
      <c r="N467" s="5">
        <v>12.5</v>
      </c>
      <c r="O467" s="14">
        <f>N467/G467</f>
        <v>1.1467889908256881</v>
      </c>
      <c r="P467" s="14">
        <f>N467-G467</f>
        <v>1.5999999999999996</v>
      </c>
      <c r="Q467" s="17">
        <f>IF(F467&lt;2,IF(M467&lt;2,0,1),1)</f>
        <v>0</v>
      </c>
      <c r="R467" s="18">
        <f>K467-D467</f>
        <v>0</v>
      </c>
      <c r="S467" s="17">
        <f>IF(R467&gt;0.09,1,0)</f>
        <v>0</v>
      </c>
      <c r="T467" s="35">
        <v>0</v>
      </c>
      <c r="U467" s="6">
        <v>1</v>
      </c>
      <c r="V467" s="6">
        <v>3</v>
      </c>
      <c r="W467" s="6">
        <v>3</v>
      </c>
      <c r="X467" s="6">
        <v>3</v>
      </c>
      <c r="Y467" s="37">
        <v>0</v>
      </c>
    </row>
    <row r="468" spans="1:25" x14ac:dyDescent="0.25">
      <c r="A468" s="2">
        <v>59</v>
      </c>
      <c r="B468" s="2">
        <v>108</v>
      </c>
      <c r="C468" s="2">
        <v>91</v>
      </c>
      <c r="D468" s="4">
        <v>1.25</v>
      </c>
      <c r="G468" s="4">
        <v>12.9</v>
      </c>
      <c r="H468" s="2">
        <v>100</v>
      </c>
      <c r="I468" s="14">
        <f>H468/A468</f>
        <v>1.6949152542372881</v>
      </c>
      <c r="J468" s="2">
        <v>1</v>
      </c>
      <c r="K468" s="4">
        <v>1.38</v>
      </c>
      <c r="N468" s="5">
        <v>16.7</v>
      </c>
      <c r="O468" s="14">
        <f>N468/G468</f>
        <v>1.2945736434108526</v>
      </c>
      <c r="P468" s="14">
        <f>N468-G468</f>
        <v>3.7999999999999989</v>
      </c>
      <c r="Q468" s="17">
        <f>IF(F468&lt;2,IF(M468&lt;2,0,1),1)</f>
        <v>0</v>
      </c>
      <c r="R468" s="18">
        <f>K468-D468</f>
        <v>0.12999999999999989</v>
      </c>
      <c r="S468" s="17">
        <f>IF(R468&gt;0.09,1,0)</f>
        <v>1</v>
      </c>
      <c r="T468" s="35">
        <v>0</v>
      </c>
      <c r="V468" s="6">
        <f>SUM(J468,Q468,S468,T468,U468)</f>
        <v>2</v>
      </c>
      <c r="W468" s="6">
        <v>3</v>
      </c>
      <c r="X468" s="6">
        <v>4</v>
      </c>
      <c r="Y468" s="37">
        <v>1</v>
      </c>
    </row>
    <row r="469" spans="1:25" x14ac:dyDescent="0.25">
      <c r="A469" s="2">
        <v>62</v>
      </c>
      <c r="B469" s="2">
        <v>113</v>
      </c>
      <c r="C469" s="2">
        <v>77</v>
      </c>
      <c r="D469" s="4">
        <v>1.1200000000000001</v>
      </c>
      <c r="E469" s="2">
        <v>11</v>
      </c>
      <c r="F469" s="2">
        <v>0</v>
      </c>
      <c r="G469" s="4">
        <v>11.6</v>
      </c>
      <c r="H469" s="2">
        <v>86</v>
      </c>
      <c r="I469" s="14">
        <f>H469/A469</f>
        <v>1.3870967741935485</v>
      </c>
      <c r="J469" s="2">
        <v>1</v>
      </c>
      <c r="K469" s="4">
        <v>2.06</v>
      </c>
      <c r="M469" s="2">
        <v>5</v>
      </c>
      <c r="N469" s="5">
        <v>8.8000000000000007</v>
      </c>
      <c r="O469" s="14">
        <f>N469/G469</f>
        <v>0.75862068965517249</v>
      </c>
      <c r="P469" s="14">
        <f>N469-G469</f>
        <v>-2.7999999999999989</v>
      </c>
      <c r="Q469" s="17">
        <f>IF(F469&lt;2,IF(M469&lt;2,0,1),1)</f>
        <v>1</v>
      </c>
      <c r="R469" s="18">
        <f>K469-D469</f>
        <v>0.94</v>
      </c>
      <c r="S469" s="17">
        <f>IF(R469&gt;0.09,1,0)</f>
        <v>1</v>
      </c>
      <c r="T469" s="35">
        <v>0</v>
      </c>
      <c r="V469" s="6">
        <f>SUM(J469,Q469,S469,T469,U469)</f>
        <v>3</v>
      </c>
      <c r="W469" s="6">
        <v>4</v>
      </c>
      <c r="X469" s="6">
        <v>5</v>
      </c>
      <c r="Y469" s="37">
        <v>1</v>
      </c>
    </row>
    <row r="470" spans="1:25" x14ac:dyDescent="0.25">
      <c r="A470" s="2">
        <v>57</v>
      </c>
      <c r="B470" s="2">
        <v>128</v>
      </c>
      <c r="C470" s="2">
        <v>78</v>
      </c>
      <c r="D470" s="4">
        <v>1</v>
      </c>
      <c r="E470" s="2">
        <v>17</v>
      </c>
      <c r="F470" s="2">
        <v>2</v>
      </c>
      <c r="G470" s="4">
        <v>18.899999999999999</v>
      </c>
      <c r="H470" s="2">
        <v>74</v>
      </c>
      <c r="I470" s="14">
        <f>H470/A470</f>
        <v>1.2982456140350878</v>
      </c>
      <c r="J470" s="2">
        <v>1</v>
      </c>
      <c r="K470" s="4">
        <v>1</v>
      </c>
      <c r="L470" s="2">
        <v>31</v>
      </c>
      <c r="M470" s="2">
        <v>0</v>
      </c>
      <c r="N470" s="5">
        <v>16.8</v>
      </c>
      <c r="O470" s="14">
        <f>N470/G470</f>
        <v>0.88888888888888895</v>
      </c>
      <c r="P470" s="14">
        <f>N470-G470</f>
        <v>-2.0999999999999979</v>
      </c>
      <c r="Q470" s="17">
        <f>IF(F470&lt;2,IF(M470&lt;2,0,1),1)</f>
        <v>1</v>
      </c>
      <c r="R470" s="18">
        <f>K470-D470</f>
        <v>0</v>
      </c>
      <c r="S470" s="17">
        <f>IF(R470&gt;0.09,1,0)</f>
        <v>0</v>
      </c>
      <c r="T470" s="35">
        <v>0</v>
      </c>
      <c r="U470" s="6">
        <v>1</v>
      </c>
      <c r="V470" s="6">
        <f>SUM(J470,Q470,S470,T470,U470)</f>
        <v>3</v>
      </c>
      <c r="W470" s="6">
        <v>3</v>
      </c>
      <c r="X470" s="6">
        <v>3</v>
      </c>
      <c r="Y470" s="37">
        <v>0</v>
      </c>
    </row>
    <row r="471" spans="1:25" x14ac:dyDescent="0.25">
      <c r="A471" s="2">
        <v>49</v>
      </c>
      <c r="B471" s="2">
        <v>104</v>
      </c>
      <c r="C471" s="2">
        <v>78</v>
      </c>
      <c r="D471" s="4">
        <v>1</v>
      </c>
      <c r="E471" s="2">
        <v>52</v>
      </c>
      <c r="F471" s="2">
        <v>3</v>
      </c>
      <c r="G471" s="4">
        <v>12.7</v>
      </c>
      <c r="H471" s="2">
        <v>83</v>
      </c>
      <c r="I471" s="14">
        <f>H471/A471</f>
        <v>1.6938775510204083</v>
      </c>
      <c r="J471" s="2">
        <v>1</v>
      </c>
      <c r="K471" s="4">
        <v>1</v>
      </c>
      <c r="L471" s="2">
        <v>72</v>
      </c>
      <c r="M471" s="2">
        <v>3</v>
      </c>
      <c r="N471" s="5">
        <v>14.2</v>
      </c>
      <c r="O471" s="14">
        <f>N471/G471</f>
        <v>1.1181102362204725</v>
      </c>
      <c r="P471" s="14">
        <f>N471-G471</f>
        <v>1.5</v>
      </c>
      <c r="Q471" s="17">
        <f>IF(F471&lt;2,IF(M471&lt;2,0,1),1)</f>
        <v>1</v>
      </c>
      <c r="R471" s="18">
        <f>K471-D471</f>
        <v>0</v>
      </c>
      <c r="S471" s="17">
        <f>IF(R471&gt;0.09,1,0)</f>
        <v>0</v>
      </c>
      <c r="T471" s="35">
        <v>0</v>
      </c>
      <c r="U471" s="6">
        <v>1</v>
      </c>
      <c r="V471" s="6">
        <f>SUM(J471,Q471,S471,T471,U471)</f>
        <v>3</v>
      </c>
      <c r="W471" s="6">
        <v>3</v>
      </c>
      <c r="X471" s="6">
        <v>4</v>
      </c>
      <c r="Y471" s="37">
        <v>0</v>
      </c>
    </row>
    <row r="472" spans="1:25" x14ac:dyDescent="0.25">
      <c r="A472" s="2">
        <v>61</v>
      </c>
      <c r="B472" s="2">
        <v>118</v>
      </c>
      <c r="C472" s="2">
        <v>79</v>
      </c>
      <c r="D472" s="4">
        <v>1</v>
      </c>
      <c r="E472" s="2">
        <v>38</v>
      </c>
      <c r="F472" s="2">
        <v>1</v>
      </c>
      <c r="G472" s="4">
        <v>15.7</v>
      </c>
      <c r="H472" s="2">
        <v>137</v>
      </c>
      <c r="I472" s="14">
        <f>H472/A472</f>
        <v>2.2459016393442623</v>
      </c>
      <c r="J472" s="2">
        <v>0</v>
      </c>
      <c r="K472" s="4">
        <v>1.06</v>
      </c>
      <c r="L472" s="2">
        <v>57</v>
      </c>
      <c r="M472" s="2">
        <v>0</v>
      </c>
      <c r="N472" s="5">
        <v>19.399999999999999</v>
      </c>
      <c r="O472" s="14">
        <f>N472/G472</f>
        <v>1.2356687898089171</v>
      </c>
      <c r="P472" s="14">
        <f>N472-G472</f>
        <v>3.6999999999999993</v>
      </c>
      <c r="Q472" s="17">
        <f>IF(F472&lt;2,IF(M472&lt;2,0,1),1)</f>
        <v>0</v>
      </c>
      <c r="R472" s="18">
        <f>K472-D472</f>
        <v>6.0000000000000053E-2</v>
      </c>
      <c r="S472" s="17">
        <f>IF(R472&gt;0.09,1,0)</f>
        <v>0</v>
      </c>
      <c r="T472" s="35">
        <v>0</v>
      </c>
      <c r="U472" s="6">
        <v>1</v>
      </c>
      <c r="V472" s="6">
        <f>SUM(J472,Q472,S472,T472,U472)</f>
        <v>1</v>
      </c>
      <c r="W472" s="6">
        <v>1</v>
      </c>
      <c r="X472" s="6">
        <v>2</v>
      </c>
      <c r="Y472" s="37">
        <v>0</v>
      </c>
    </row>
    <row r="473" spans="1:25" x14ac:dyDescent="0.25">
      <c r="A473" s="2">
        <v>89</v>
      </c>
      <c r="B473" s="2">
        <v>145</v>
      </c>
      <c r="C473" s="2">
        <v>92</v>
      </c>
      <c r="D473" s="4">
        <v>1</v>
      </c>
      <c r="E473" s="2">
        <v>20</v>
      </c>
      <c r="F473" s="2">
        <v>1</v>
      </c>
      <c r="G473" s="4">
        <v>16.34</v>
      </c>
      <c r="H473" s="2">
        <v>121</v>
      </c>
      <c r="I473" s="14">
        <f>H473/A473</f>
        <v>1.3595505617977528</v>
      </c>
      <c r="J473" s="2">
        <v>1</v>
      </c>
      <c r="K473" s="4">
        <v>1</v>
      </c>
      <c r="L473" s="2">
        <v>41</v>
      </c>
      <c r="M473" s="2">
        <v>0</v>
      </c>
      <c r="N473" s="5">
        <v>19.2</v>
      </c>
      <c r="O473" s="14">
        <f>N473/G473</f>
        <v>1.175030599755202</v>
      </c>
      <c r="P473" s="14">
        <f>N473-G473</f>
        <v>2.8599999999999994</v>
      </c>
      <c r="Q473" s="17">
        <f>IF(F473&lt;2,IF(M473&lt;2,0,1),1)</f>
        <v>0</v>
      </c>
      <c r="R473" s="18">
        <f>K473-D473</f>
        <v>0</v>
      </c>
      <c r="S473" s="17">
        <f>IF(R473&gt;0.09,1,0)</f>
        <v>0</v>
      </c>
      <c r="T473" s="35">
        <v>0</v>
      </c>
      <c r="U473" s="6">
        <v>0</v>
      </c>
      <c r="V473" s="6">
        <f>SUM(J473,Q473,S473,T473,U473)</f>
        <v>1</v>
      </c>
      <c r="W473" s="6">
        <v>1</v>
      </c>
      <c r="X473" s="6">
        <v>2</v>
      </c>
      <c r="Y473" s="37">
        <v>0</v>
      </c>
    </row>
    <row r="474" spans="1:25" x14ac:dyDescent="0.25">
      <c r="A474" s="2">
        <v>64</v>
      </c>
      <c r="B474" s="2">
        <v>124</v>
      </c>
      <c r="C474" s="2">
        <v>86</v>
      </c>
      <c r="D474" s="4">
        <v>1</v>
      </c>
      <c r="E474" s="2">
        <v>11</v>
      </c>
      <c r="F474" s="2">
        <v>1</v>
      </c>
      <c r="G474" s="4">
        <v>20.399999999999999</v>
      </c>
      <c r="H474" s="2">
        <v>130</v>
      </c>
      <c r="I474" s="14">
        <f>H474/A474</f>
        <v>2.03125</v>
      </c>
      <c r="J474" s="2">
        <v>0</v>
      </c>
      <c r="K474" s="4">
        <v>1</v>
      </c>
      <c r="L474" s="2">
        <v>25</v>
      </c>
      <c r="M474" s="2">
        <v>3</v>
      </c>
      <c r="N474" s="5">
        <v>20.8</v>
      </c>
      <c r="O474" s="14">
        <f>N474/G474</f>
        <v>1.0196078431372551</v>
      </c>
      <c r="P474" s="14">
        <f>N474-G474</f>
        <v>0.40000000000000213</v>
      </c>
      <c r="Q474" s="17">
        <f>IF(F474&lt;2,IF(M474&lt;2,0,1),1)</f>
        <v>1</v>
      </c>
      <c r="R474" s="18">
        <f>K474-D474</f>
        <v>0</v>
      </c>
      <c r="S474" s="17">
        <f>IF(R474&gt;0.09,1,0)</f>
        <v>0</v>
      </c>
      <c r="T474" s="35">
        <v>0</v>
      </c>
      <c r="U474" s="6">
        <v>0</v>
      </c>
      <c r="V474" s="6">
        <f>SUM(J474,Q474,S474,T474,U474)</f>
        <v>1</v>
      </c>
      <c r="W474" s="6">
        <v>1</v>
      </c>
      <c r="X474" s="6">
        <v>1</v>
      </c>
      <c r="Y474" s="37">
        <v>0</v>
      </c>
    </row>
    <row r="475" spans="1:25" x14ac:dyDescent="0.25">
      <c r="A475" s="2">
        <v>75</v>
      </c>
      <c r="B475" s="2">
        <v>124</v>
      </c>
      <c r="C475" s="2">
        <v>85</v>
      </c>
      <c r="D475" s="4">
        <v>1</v>
      </c>
      <c r="E475" s="2">
        <v>23</v>
      </c>
      <c r="F475" s="2">
        <v>0</v>
      </c>
      <c r="G475" s="4">
        <v>12.9</v>
      </c>
      <c r="H475" s="2">
        <v>153</v>
      </c>
      <c r="I475" s="14">
        <f>H475/A475</f>
        <v>2.04</v>
      </c>
      <c r="J475" s="2">
        <v>0</v>
      </c>
      <c r="K475" s="4">
        <v>1</v>
      </c>
      <c r="L475" s="2">
        <v>37</v>
      </c>
      <c r="M475" s="2">
        <v>0</v>
      </c>
      <c r="N475" s="5">
        <v>16.3</v>
      </c>
      <c r="O475" s="14">
        <f>N475/G475</f>
        <v>1.2635658914728682</v>
      </c>
      <c r="P475" s="14">
        <f>N475-G475</f>
        <v>3.4000000000000004</v>
      </c>
      <c r="Q475" s="17">
        <f>IF(F475&lt;2,IF(M475&lt;2,0,1),1)</f>
        <v>0</v>
      </c>
      <c r="R475" s="18">
        <f>K475-D475</f>
        <v>0</v>
      </c>
      <c r="S475" s="17">
        <f>IF(R475&gt;0.09,1,0)</f>
        <v>0</v>
      </c>
      <c r="T475" s="35">
        <v>0</v>
      </c>
      <c r="U475" s="6">
        <v>1</v>
      </c>
      <c r="V475" s="6">
        <f>SUM(J475,Q475,S475,T475,U475)</f>
        <v>1</v>
      </c>
      <c r="W475" s="6">
        <v>1</v>
      </c>
      <c r="X475" s="6">
        <v>1</v>
      </c>
      <c r="Y475" s="37">
        <v>0</v>
      </c>
    </row>
    <row r="476" spans="1:25" x14ac:dyDescent="0.25">
      <c r="A476" s="2">
        <v>82</v>
      </c>
      <c r="B476" s="2">
        <v>137</v>
      </c>
      <c r="C476" s="2">
        <v>87</v>
      </c>
      <c r="D476" s="4">
        <v>1</v>
      </c>
      <c r="E476" s="2">
        <v>14</v>
      </c>
      <c r="F476" s="2">
        <v>0</v>
      </c>
      <c r="G476" s="4">
        <v>14.7</v>
      </c>
      <c r="H476" s="2">
        <v>82</v>
      </c>
      <c r="I476" s="14">
        <f>H476/A476</f>
        <v>1</v>
      </c>
      <c r="J476" s="2">
        <v>1</v>
      </c>
      <c r="K476" s="4">
        <v>1</v>
      </c>
      <c r="L476" s="2">
        <v>35</v>
      </c>
      <c r="M476" s="2">
        <v>0</v>
      </c>
      <c r="N476" s="5">
        <v>18.899999999999999</v>
      </c>
      <c r="O476" s="14">
        <f>N476/G476</f>
        <v>1.2857142857142856</v>
      </c>
      <c r="P476" s="14">
        <f>N476-G476</f>
        <v>4.1999999999999993</v>
      </c>
      <c r="Q476" s="17">
        <f>IF(F476&lt;2,IF(M476&lt;2,0,1),1)</f>
        <v>0</v>
      </c>
      <c r="R476" s="18">
        <f>K476-D476</f>
        <v>0</v>
      </c>
      <c r="S476" s="17">
        <f>IF(R476&gt;0.09,1,0)</f>
        <v>0</v>
      </c>
      <c r="T476" s="35">
        <v>0</v>
      </c>
      <c r="U476" s="6">
        <v>0</v>
      </c>
      <c r="V476" s="6">
        <f>SUM(J476,Q476,S476,T476,U476)</f>
        <v>1</v>
      </c>
      <c r="W476" s="6">
        <v>1</v>
      </c>
      <c r="X476" s="6">
        <v>2</v>
      </c>
      <c r="Y476" s="37">
        <v>0</v>
      </c>
    </row>
    <row r="477" spans="1:25" x14ac:dyDescent="0.25">
      <c r="A477" s="2">
        <v>65</v>
      </c>
      <c r="B477" s="2">
        <v>139</v>
      </c>
      <c r="C477" s="2">
        <v>94</v>
      </c>
      <c r="D477" s="4">
        <v>1</v>
      </c>
      <c r="E477" s="2">
        <v>19</v>
      </c>
      <c r="F477" s="2">
        <v>1</v>
      </c>
      <c r="G477" s="4">
        <v>15</v>
      </c>
      <c r="H477" s="2">
        <v>130</v>
      </c>
      <c r="I477" s="14">
        <f>H477/A477</f>
        <v>2</v>
      </c>
      <c r="J477" s="2">
        <v>0</v>
      </c>
      <c r="K477" s="4">
        <v>1</v>
      </c>
      <c r="L477" s="2">
        <v>38</v>
      </c>
      <c r="M477" s="2">
        <v>5</v>
      </c>
      <c r="N477" s="5">
        <v>15.8</v>
      </c>
      <c r="O477" s="14">
        <f>N477/G477</f>
        <v>1.0533333333333335</v>
      </c>
      <c r="P477" s="14">
        <f>N477-G477</f>
        <v>0.80000000000000071</v>
      </c>
      <c r="Q477" s="17">
        <f>IF(F477&lt;2,IF(M477&lt;2,0,1),1)</f>
        <v>1</v>
      </c>
      <c r="R477" s="18">
        <f>K477-D477</f>
        <v>0</v>
      </c>
      <c r="S477" s="17">
        <f>IF(R477&gt;0.09,1,0)</f>
        <v>0</v>
      </c>
      <c r="T477" s="35">
        <v>0</v>
      </c>
      <c r="U477" s="6">
        <v>1</v>
      </c>
      <c r="V477" s="6">
        <f>SUM(J477,Q477,S477,T477,U477)</f>
        <v>2</v>
      </c>
      <c r="W477" s="6">
        <v>2</v>
      </c>
      <c r="X477" s="6">
        <v>3</v>
      </c>
      <c r="Y477" s="37">
        <v>0</v>
      </c>
    </row>
    <row r="478" spans="1:25" x14ac:dyDescent="0.25">
      <c r="A478" s="2">
        <v>54</v>
      </c>
      <c r="B478" s="2">
        <v>132</v>
      </c>
      <c r="C478" s="2">
        <v>99</v>
      </c>
      <c r="D478" s="4">
        <v>1</v>
      </c>
      <c r="E478" s="2">
        <v>11</v>
      </c>
      <c r="F478" s="2">
        <v>8</v>
      </c>
      <c r="G478" s="4">
        <v>15.6</v>
      </c>
      <c r="H478" s="2">
        <v>116</v>
      </c>
      <c r="I478" s="14">
        <f>H478/A478</f>
        <v>2.1481481481481484</v>
      </c>
      <c r="J478" s="2">
        <v>0</v>
      </c>
      <c r="K478" s="4">
        <v>1</v>
      </c>
      <c r="L478" s="2">
        <v>21</v>
      </c>
      <c r="M478" s="2">
        <v>10</v>
      </c>
      <c r="N478" s="5">
        <v>20.3</v>
      </c>
      <c r="O478" s="14">
        <f>N478/G478</f>
        <v>1.3012820512820513</v>
      </c>
      <c r="P478" s="14">
        <f>N478-G478</f>
        <v>4.7000000000000011</v>
      </c>
      <c r="Q478" s="17">
        <f>IF(F478&lt;2,IF(M478&lt;2,0,1),1)</f>
        <v>1</v>
      </c>
      <c r="R478" s="18">
        <f>K478-D478</f>
        <v>0</v>
      </c>
      <c r="S478" s="17">
        <f>IF(R478&gt;0.09,1,0)</f>
        <v>0</v>
      </c>
      <c r="T478" s="35">
        <v>0</v>
      </c>
      <c r="U478" s="6">
        <v>1</v>
      </c>
      <c r="V478" s="6">
        <f>SUM(J478,Q478,S478,T478,U478)</f>
        <v>2</v>
      </c>
      <c r="W478" s="6">
        <v>2</v>
      </c>
      <c r="X478" s="6">
        <v>3</v>
      </c>
      <c r="Y478" s="37">
        <v>0</v>
      </c>
    </row>
    <row r="479" spans="1:25" x14ac:dyDescent="0.25">
      <c r="A479" s="2">
        <v>44</v>
      </c>
      <c r="B479" s="2">
        <v>116</v>
      </c>
      <c r="C479" s="2">
        <v>72</v>
      </c>
      <c r="D479" s="4">
        <v>1</v>
      </c>
      <c r="E479" s="2">
        <v>13</v>
      </c>
      <c r="F479" s="2">
        <v>1</v>
      </c>
      <c r="G479" s="4">
        <v>17.100000000000001</v>
      </c>
      <c r="H479" s="2">
        <v>110</v>
      </c>
      <c r="I479" s="14">
        <f>H479/A479</f>
        <v>2.5</v>
      </c>
      <c r="J479" s="2">
        <v>0</v>
      </c>
      <c r="K479" s="4">
        <v>1.1200000000000001</v>
      </c>
      <c r="L479" s="2">
        <v>14</v>
      </c>
      <c r="M479" s="2">
        <v>1</v>
      </c>
      <c r="N479" s="5">
        <v>16.7</v>
      </c>
      <c r="O479" s="14">
        <f>N479/G479</f>
        <v>0.97660818713450281</v>
      </c>
      <c r="P479" s="14">
        <f>N479-G479</f>
        <v>-0.40000000000000213</v>
      </c>
      <c r="Q479" s="17">
        <f>IF(F479&lt;2,IF(M479&lt;2,0,1),1)</f>
        <v>0</v>
      </c>
      <c r="R479" s="18">
        <f>K479-D479</f>
        <v>0.12000000000000011</v>
      </c>
      <c r="S479" s="17">
        <f>IF(R479&gt;0.09,1,0)</f>
        <v>1</v>
      </c>
      <c r="T479" s="35">
        <v>0</v>
      </c>
      <c r="U479" s="6">
        <v>1</v>
      </c>
      <c r="V479" s="6">
        <v>3</v>
      </c>
      <c r="W479" s="6">
        <v>3</v>
      </c>
      <c r="X479" s="6">
        <v>3</v>
      </c>
      <c r="Y479" s="37">
        <v>0</v>
      </c>
    </row>
    <row r="480" spans="1:25" x14ac:dyDescent="0.25">
      <c r="A480" s="2">
        <v>57</v>
      </c>
      <c r="B480" s="2">
        <v>116</v>
      </c>
      <c r="C480" s="2">
        <v>91</v>
      </c>
      <c r="D480" s="4">
        <v>1.06</v>
      </c>
      <c r="E480" s="2">
        <v>12</v>
      </c>
      <c r="F480" s="2">
        <v>0</v>
      </c>
      <c r="G480" s="4">
        <v>17.2</v>
      </c>
      <c r="H480" s="2">
        <v>88</v>
      </c>
      <c r="I480" s="36">
        <v>1.54</v>
      </c>
      <c r="J480" s="2">
        <v>1</v>
      </c>
      <c r="K480" s="4">
        <v>1.19</v>
      </c>
      <c r="M480" s="2">
        <v>0</v>
      </c>
      <c r="N480" s="5">
        <v>17.899999999999999</v>
      </c>
      <c r="O480" s="36">
        <v>1.04</v>
      </c>
      <c r="P480" s="14">
        <v>0.7</v>
      </c>
      <c r="Q480" s="17">
        <v>0</v>
      </c>
      <c r="R480" s="18">
        <f>K480-D480</f>
        <v>0.12999999999999989</v>
      </c>
      <c r="S480" s="17">
        <v>1</v>
      </c>
      <c r="T480" s="35">
        <v>1</v>
      </c>
      <c r="V480" s="6">
        <v>2</v>
      </c>
      <c r="W480" s="6">
        <v>2</v>
      </c>
      <c r="X480" s="6">
        <v>3</v>
      </c>
      <c r="Y480" s="37">
        <v>1</v>
      </c>
    </row>
    <row r="481" spans="1:25" x14ac:dyDescent="0.25">
      <c r="A481" s="2">
        <v>62</v>
      </c>
      <c r="B481" s="2">
        <v>116</v>
      </c>
      <c r="C481" s="2">
        <v>65</v>
      </c>
      <c r="D481" s="4">
        <v>1</v>
      </c>
      <c r="E481" s="2">
        <v>16</v>
      </c>
      <c r="F481" s="2">
        <v>0</v>
      </c>
      <c r="G481" s="4">
        <v>14.8</v>
      </c>
      <c r="H481" s="2">
        <v>93</v>
      </c>
      <c r="I481" s="36">
        <v>1.5</v>
      </c>
      <c r="J481" s="2">
        <v>0</v>
      </c>
      <c r="K481" s="4">
        <v>1</v>
      </c>
      <c r="L481" s="2">
        <v>60</v>
      </c>
      <c r="M481" s="2">
        <v>1</v>
      </c>
      <c r="N481" s="5">
        <v>16</v>
      </c>
      <c r="O481" s="36">
        <v>1.08</v>
      </c>
      <c r="P481" s="36">
        <v>1.2</v>
      </c>
      <c r="Q481" s="17">
        <v>0</v>
      </c>
      <c r="R481" s="18">
        <f>K481-D481</f>
        <v>0</v>
      </c>
      <c r="S481" s="17">
        <v>0</v>
      </c>
      <c r="T481" s="6">
        <v>1</v>
      </c>
      <c r="U481" s="6">
        <v>0</v>
      </c>
      <c r="V481" s="6">
        <v>1</v>
      </c>
      <c r="W481" s="6">
        <v>1</v>
      </c>
      <c r="X481" s="6">
        <v>1</v>
      </c>
      <c r="Y481" s="37">
        <v>0</v>
      </c>
    </row>
    <row r="482" spans="1:25" x14ac:dyDescent="0.25">
      <c r="A482" s="2">
        <v>58</v>
      </c>
      <c r="B482" s="2">
        <v>142</v>
      </c>
      <c r="C482" s="2">
        <v>100</v>
      </c>
      <c r="D482" s="4">
        <v>1</v>
      </c>
      <c r="E482" s="2">
        <v>11</v>
      </c>
      <c r="F482" s="2">
        <v>1</v>
      </c>
      <c r="G482" s="4">
        <v>18</v>
      </c>
      <c r="H482" s="2">
        <v>121</v>
      </c>
      <c r="I482" s="36">
        <v>2.09</v>
      </c>
      <c r="J482" s="2">
        <v>0</v>
      </c>
      <c r="K482" s="4">
        <v>1</v>
      </c>
      <c r="L482" s="2">
        <v>29</v>
      </c>
      <c r="M482" s="2">
        <v>5</v>
      </c>
      <c r="N482" s="5">
        <v>18.600000000000001</v>
      </c>
      <c r="O482" s="36">
        <v>1.03</v>
      </c>
      <c r="P482" s="36">
        <v>0.6</v>
      </c>
      <c r="Q482" s="17">
        <v>1</v>
      </c>
      <c r="R482" s="18">
        <f>K482-D482</f>
        <v>0</v>
      </c>
      <c r="S482" s="17">
        <v>0</v>
      </c>
      <c r="T482" s="6">
        <v>1</v>
      </c>
      <c r="U482" s="6">
        <v>0</v>
      </c>
      <c r="V482" s="6">
        <v>2</v>
      </c>
      <c r="W482" s="6">
        <v>2</v>
      </c>
      <c r="X482" s="6">
        <v>3</v>
      </c>
      <c r="Y482" s="37">
        <v>0</v>
      </c>
    </row>
    <row r="483" spans="1:25" x14ac:dyDescent="0.25">
      <c r="A483" s="2">
        <v>63</v>
      </c>
      <c r="B483" s="2">
        <v>92</v>
      </c>
      <c r="C483" s="2">
        <v>67</v>
      </c>
      <c r="D483" s="4">
        <v>1</v>
      </c>
      <c r="E483" s="2">
        <v>21</v>
      </c>
      <c r="F483" s="2">
        <v>1</v>
      </c>
      <c r="G483" s="4">
        <v>18.5</v>
      </c>
      <c r="H483" s="2">
        <v>136</v>
      </c>
      <c r="I483" s="36">
        <v>2.16</v>
      </c>
      <c r="J483" s="2">
        <v>0</v>
      </c>
      <c r="K483" s="4">
        <v>1</v>
      </c>
      <c r="L483" s="2">
        <v>55</v>
      </c>
      <c r="M483" s="2">
        <v>4</v>
      </c>
      <c r="N483" s="5">
        <v>22.3</v>
      </c>
      <c r="O483" s="36">
        <v>1.21</v>
      </c>
      <c r="P483" s="36">
        <v>3.8</v>
      </c>
      <c r="Q483" s="40">
        <v>1</v>
      </c>
      <c r="R483" s="18">
        <f>K483-D483</f>
        <v>0</v>
      </c>
      <c r="S483" s="17">
        <v>0</v>
      </c>
      <c r="T483" s="6">
        <v>0</v>
      </c>
      <c r="U483" s="6">
        <v>0</v>
      </c>
      <c r="V483" s="6">
        <v>2</v>
      </c>
      <c r="W483" s="6">
        <v>2</v>
      </c>
      <c r="X483" s="6">
        <v>2</v>
      </c>
      <c r="Y483" s="37">
        <v>0</v>
      </c>
    </row>
    <row r="484" spans="1:25" x14ac:dyDescent="0.25">
      <c r="A484" s="2">
        <v>70</v>
      </c>
      <c r="B484" s="2">
        <v>119</v>
      </c>
      <c r="C484" s="2">
        <v>85</v>
      </c>
      <c r="D484" s="4">
        <v>1</v>
      </c>
      <c r="E484" s="2">
        <v>26</v>
      </c>
      <c r="F484" s="2">
        <v>0</v>
      </c>
      <c r="G484" s="4">
        <v>17.899999999999999</v>
      </c>
      <c r="H484" s="2">
        <v>112</v>
      </c>
      <c r="I484" s="36">
        <v>1.6</v>
      </c>
      <c r="J484" s="2">
        <v>1</v>
      </c>
      <c r="K484" s="4">
        <v>1.25</v>
      </c>
      <c r="L484" s="2">
        <v>33</v>
      </c>
      <c r="M484" s="2">
        <v>0</v>
      </c>
      <c r="O484" s="36"/>
      <c r="P484" s="36"/>
      <c r="Q484" s="40">
        <v>0</v>
      </c>
      <c r="R484" s="18">
        <f>K484-D484</f>
        <v>0.25</v>
      </c>
      <c r="S484" s="17">
        <v>1</v>
      </c>
      <c r="T484" s="6">
        <v>1</v>
      </c>
      <c r="U484" s="6">
        <v>1</v>
      </c>
      <c r="V484" s="6">
        <v>4</v>
      </c>
      <c r="W484" s="6">
        <v>4</v>
      </c>
      <c r="X484" s="6">
        <v>5</v>
      </c>
      <c r="Y484" s="37">
        <v>0</v>
      </c>
    </row>
    <row r="485" spans="1:25" x14ac:dyDescent="0.25">
      <c r="A485" s="2">
        <v>76</v>
      </c>
      <c r="B485" s="2">
        <v>125</v>
      </c>
      <c r="C485" s="2">
        <v>83</v>
      </c>
      <c r="D485" s="4">
        <v>1</v>
      </c>
      <c r="E485" s="2">
        <v>16</v>
      </c>
      <c r="F485" s="2">
        <v>1</v>
      </c>
      <c r="G485" s="4">
        <v>16.2</v>
      </c>
      <c r="H485" s="2">
        <v>129</v>
      </c>
      <c r="I485" s="36">
        <v>1.7</v>
      </c>
      <c r="J485" s="2">
        <v>1</v>
      </c>
      <c r="K485" s="4">
        <v>1</v>
      </c>
      <c r="L485" s="2">
        <v>32</v>
      </c>
      <c r="M485" s="2">
        <v>4</v>
      </c>
      <c r="N485" s="5">
        <v>14.9</v>
      </c>
      <c r="O485" s="36">
        <v>0.92</v>
      </c>
      <c r="P485" s="36">
        <v>-1.3</v>
      </c>
      <c r="Q485" s="40">
        <v>1</v>
      </c>
      <c r="R485" s="18">
        <f>K485-D485</f>
        <v>0</v>
      </c>
      <c r="S485" s="17">
        <v>0</v>
      </c>
      <c r="T485" s="6">
        <v>0</v>
      </c>
      <c r="U485" s="6">
        <v>1</v>
      </c>
      <c r="V485" s="6">
        <v>3</v>
      </c>
      <c r="W485" s="6">
        <v>3</v>
      </c>
      <c r="X485" s="6">
        <v>3</v>
      </c>
      <c r="Y485" s="37">
        <v>0</v>
      </c>
    </row>
    <row r="486" spans="1:25" x14ac:dyDescent="0.25">
      <c r="A486" s="2">
        <v>69</v>
      </c>
      <c r="B486" s="2">
        <v>117</v>
      </c>
      <c r="C486" s="2">
        <v>86</v>
      </c>
      <c r="D486" s="4">
        <v>1</v>
      </c>
      <c r="E486" s="2">
        <v>21</v>
      </c>
      <c r="F486" s="2">
        <v>2</v>
      </c>
      <c r="H486" s="2">
        <v>153</v>
      </c>
      <c r="I486" s="36">
        <v>2.2200000000000002</v>
      </c>
      <c r="J486" s="2">
        <v>0</v>
      </c>
      <c r="K486" s="4">
        <v>1</v>
      </c>
      <c r="L486" s="2">
        <v>54</v>
      </c>
      <c r="M486" s="2">
        <v>0</v>
      </c>
      <c r="O486" s="36"/>
      <c r="P486" s="36"/>
      <c r="Q486" s="40">
        <v>1</v>
      </c>
      <c r="R486" s="18">
        <f>K486-D486</f>
        <v>0</v>
      </c>
      <c r="S486" s="6">
        <v>0</v>
      </c>
      <c r="T486" s="6">
        <v>0</v>
      </c>
      <c r="U486" s="6">
        <v>0</v>
      </c>
      <c r="V486" s="6">
        <v>1</v>
      </c>
      <c r="W486" s="6">
        <v>1</v>
      </c>
      <c r="X486" s="6">
        <v>2</v>
      </c>
      <c r="Y486" s="37">
        <v>0</v>
      </c>
    </row>
    <row r="487" spans="1:25" x14ac:dyDescent="0.25">
      <c r="A487" s="2">
        <v>59</v>
      </c>
      <c r="B487" s="2">
        <v>123</v>
      </c>
      <c r="C487" s="2">
        <v>87</v>
      </c>
      <c r="D487" s="4">
        <v>1</v>
      </c>
      <c r="E487" s="2">
        <v>41</v>
      </c>
      <c r="F487" s="2">
        <v>1</v>
      </c>
      <c r="H487" s="2">
        <v>134</v>
      </c>
      <c r="I487" s="36">
        <v>2.27</v>
      </c>
      <c r="J487" s="2">
        <v>0</v>
      </c>
      <c r="K487" s="4">
        <v>1.06</v>
      </c>
      <c r="L487" s="2">
        <v>80</v>
      </c>
      <c r="M487" s="2">
        <v>5</v>
      </c>
      <c r="O487" s="36"/>
      <c r="P487" s="36"/>
      <c r="Q487" s="40">
        <v>1</v>
      </c>
      <c r="R487" s="18">
        <f>K487-D487</f>
        <v>6.0000000000000053E-2</v>
      </c>
      <c r="S487" s="6">
        <v>0</v>
      </c>
      <c r="T487" s="6">
        <v>0</v>
      </c>
      <c r="U487" s="6">
        <v>1</v>
      </c>
      <c r="V487" s="6">
        <v>2</v>
      </c>
      <c r="W487" s="6">
        <v>2</v>
      </c>
      <c r="X487" s="6">
        <v>2</v>
      </c>
      <c r="Y487" s="37">
        <v>0</v>
      </c>
    </row>
    <row r="488" spans="1:25" x14ac:dyDescent="0.25">
      <c r="A488" s="2">
        <v>53</v>
      </c>
      <c r="B488" s="2">
        <v>111</v>
      </c>
      <c r="C488" s="2">
        <v>72</v>
      </c>
      <c r="D488" s="4">
        <v>1</v>
      </c>
      <c r="E488" s="2">
        <v>19</v>
      </c>
      <c r="F488" s="2">
        <v>2</v>
      </c>
      <c r="G488" s="4">
        <v>14.6</v>
      </c>
      <c r="H488" s="2">
        <v>75</v>
      </c>
      <c r="I488" s="36">
        <v>1.42</v>
      </c>
      <c r="J488" s="2">
        <v>1</v>
      </c>
      <c r="K488" s="4">
        <v>1</v>
      </c>
      <c r="L488" s="2">
        <v>21</v>
      </c>
      <c r="M488" s="2">
        <v>5</v>
      </c>
      <c r="N488" s="5">
        <v>22.6</v>
      </c>
      <c r="O488" s="36">
        <v>1.55</v>
      </c>
      <c r="P488" s="36">
        <f>N488-G488</f>
        <v>8.0000000000000018</v>
      </c>
      <c r="Q488" s="40">
        <v>1</v>
      </c>
      <c r="R488" s="18">
        <f>K488-D488</f>
        <v>0</v>
      </c>
      <c r="S488" s="6">
        <v>0</v>
      </c>
      <c r="T488" s="6">
        <v>1</v>
      </c>
      <c r="U488" s="6">
        <v>1</v>
      </c>
      <c r="V488" s="6">
        <v>4</v>
      </c>
      <c r="W488" s="6">
        <v>4</v>
      </c>
      <c r="X488" s="6">
        <v>4</v>
      </c>
      <c r="Y488" s="37">
        <v>0</v>
      </c>
    </row>
    <row r="489" spans="1:25" x14ac:dyDescent="0.25">
      <c r="A489" s="2">
        <v>75</v>
      </c>
      <c r="B489" s="2">
        <v>123</v>
      </c>
      <c r="C489" s="2">
        <v>94</v>
      </c>
      <c r="D489" s="4">
        <v>1</v>
      </c>
      <c r="E489" s="2">
        <v>21</v>
      </c>
      <c r="F489" s="2">
        <v>3</v>
      </c>
      <c r="G489" s="4">
        <v>14</v>
      </c>
      <c r="H489" s="2">
        <v>121</v>
      </c>
      <c r="I489" s="36">
        <v>1.61</v>
      </c>
      <c r="J489" s="2">
        <v>1</v>
      </c>
      <c r="K489" s="4">
        <v>1.1200000000000001</v>
      </c>
      <c r="L489" s="2">
        <v>32</v>
      </c>
      <c r="M489" s="2">
        <v>6</v>
      </c>
      <c r="N489" s="5">
        <v>18.600000000000001</v>
      </c>
      <c r="O489" s="36">
        <v>1.33</v>
      </c>
      <c r="P489" s="36">
        <f>N489-G489</f>
        <v>4.6000000000000014</v>
      </c>
      <c r="Q489" s="40">
        <v>1</v>
      </c>
      <c r="R489" s="18">
        <f>K489-D489</f>
        <v>0.12000000000000011</v>
      </c>
      <c r="S489" s="6">
        <v>1</v>
      </c>
      <c r="T489" s="6">
        <v>1</v>
      </c>
      <c r="U489" s="6">
        <v>1</v>
      </c>
      <c r="V489" s="6">
        <v>5</v>
      </c>
      <c r="W489" s="6">
        <v>5</v>
      </c>
      <c r="X489" s="6">
        <v>6</v>
      </c>
      <c r="Y489" s="37">
        <v>0</v>
      </c>
    </row>
    <row r="490" spans="1:25" x14ac:dyDescent="0.25">
      <c r="A490" s="2">
        <v>96</v>
      </c>
      <c r="B490" s="2">
        <v>125</v>
      </c>
      <c r="C490" s="2">
        <v>83</v>
      </c>
      <c r="D490" s="4">
        <v>1.38</v>
      </c>
      <c r="E490" s="2">
        <v>49</v>
      </c>
      <c r="F490" s="2">
        <v>3</v>
      </c>
      <c r="G490" s="4">
        <v>6.2</v>
      </c>
      <c r="H490" s="2">
        <v>134</v>
      </c>
      <c r="I490" s="36">
        <v>1.4</v>
      </c>
      <c r="J490" s="2">
        <v>1</v>
      </c>
      <c r="K490" s="4">
        <v>1.38</v>
      </c>
      <c r="L490" s="2">
        <v>75</v>
      </c>
      <c r="M490" s="2">
        <v>3</v>
      </c>
      <c r="O490" s="36"/>
      <c r="P490" s="36"/>
      <c r="Q490" s="40">
        <v>1</v>
      </c>
      <c r="R490" s="18">
        <f>K490-D490</f>
        <v>0</v>
      </c>
      <c r="S490" s="6">
        <v>0</v>
      </c>
      <c r="T490" s="6">
        <v>1</v>
      </c>
      <c r="U490" s="6">
        <v>1</v>
      </c>
      <c r="V490" s="6">
        <v>4</v>
      </c>
      <c r="W490" s="6">
        <v>4</v>
      </c>
      <c r="X490" s="6">
        <v>4</v>
      </c>
      <c r="Y490" s="37">
        <v>0</v>
      </c>
    </row>
    <row r="491" spans="1:25" x14ac:dyDescent="0.25">
      <c r="A491" s="2">
        <v>69</v>
      </c>
      <c r="B491" s="2">
        <v>123</v>
      </c>
      <c r="C491" s="2">
        <v>75</v>
      </c>
      <c r="D491" s="4">
        <v>1</v>
      </c>
      <c r="E491" s="2">
        <v>29</v>
      </c>
      <c r="F491" s="2">
        <v>4</v>
      </c>
      <c r="G491" s="4">
        <v>14.3</v>
      </c>
      <c r="H491" s="2">
        <v>155</v>
      </c>
      <c r="I491" s="36">
        <v>2.25</v>
      </c>
      <c r="J491" s="2">
        <v>0</v>
      </c>
      <c r="K491" s="4">
        <v>1</v>
      </c>
      <c r="L491" s="2">
        <v>62</v>
      </c>
      <c r="M491" s="2">
        <v>4</v>
      </c>
      <c r="N491" s="5">
        <v>17.2</v>
      </c>
      <c r="O491" s="36">
        <v>1.2</v>
      </c>
      <c r="P491" s="36">
        <f>N491-G491</f>
        <v>2.8999999999999986</v>
      </c>
      <c r="Q491" s="40">
        <v>1</v>
      </c>
      <c r="R491" s="18">
        <f>K491-D491</f>
        <v>0</v>
      </c>
      <c r="S491" s="6">
        <v>0</v>
      </c>
      <c r="T491" s="6">
        <v>1</v>
      </c>
      <c r="U491" s="6">
        <v>0</v>
      </c>
      <c r="V491" s="6">
        <v>2</v>
      </c>
      <c r="W491" s="6">
        <v>3</v>
      </c>
      <c r="X491" s="6">
        <v>4</v>
      </c>
      <c r="Y491" s="37">
        <v>0</v>
      </c>
    </row>
    <row r="492" spans="1:25" x14ac:dyDescent="0.25">
      <c r="A492" s="2">
        <v>78</v>
      </c>
      <c r="B492" s="2">
        <v>123</v>
      </c>
      <c r="C492" s="2">
        <v>89</v>
      </c>
      <c r="D492" s="4">
        <v>1</v>
      </c>
      <c r="F492" s="2">
        <v>0</v>
      </c>
      <c r="H492" s="2">
        <v>106</v>
      </c>
      <c r="I492" s="36">
        <v>1.36</v>
      </c>
      <c r="J492" s="2">
        <v>1</v>
      </c>
      <c r="K492" s="4">
        <v>1</v>
      </c>
      <c r="M492" s="2">
        <v>3</v>
      </c>
      <c r="O492" s="36"/>
      <c r="P492" s="36"/>
      <c r="Q492" s="40">
        <v>1</v>
      </c>
      <c r="R492" s="18">
        <f>K492-D492</f>
        <v>0</v>
      </c>
      <c r="S492" s="6">
        <v>0</v>
      </c>
      <c r="T492" s="6">
        <v>0</v>
      </c>
      <c r="V492" s="6">
        <v>2</v>
      </c>
      <c r="W492" s="6">
        <v>2</v>
      </c>
      <c r="X492" s="6">
        <v>3</v>
      </c>
      <c r="Y492" s="37"/>
    </row>
    <row r="493" spans="1:25" x14ac:dyDescent="0.25">
      <c r="A493" s="2">
        <v>71</v>
      </c>
      <c r="B493" s="2">
        <v>129</v>
      </c>
      <c r="C493" s="2">
        <v>107</v>
      </c>
      <c r="D493" s="4">
        <v>1</v>
      </c>
      <c r="E493" s="2">
        <v>25</v>
      </c>
      <c r="F493" s="2">
        <v>0</v>
      </c>
      <c r="G493" s="4">
        <v>21.2</v>
      </c>
      <c r="H493" s="2">
        <v>121</v>
      </c>
      <c r="I493" s="36">
        <v>1.7</v>
      </c>
      <c r="J493" s="2">
        <v>1</v>
      </c>
      <c r="K493" s="4">
        <v>1</v>
      </c>
      <c r="L493" s="2">
        <v>53</v>
      </c>
      <c r="M493" s="2">
        <v>4</v>
      </c>
      <c r="N493" s="5">
        <v>18</v>
      </c>
      <c r="O493" s="36">
        <v>0.85</v>
      </c>
      <c r="P493" s="36">
        <f>N493-G493</f>
        <v>-3.1999999999999993</v>
      </c>
      <c r="Q493" s="40">
        <v>1</v>
      </c>
      <c r="R493" s="18">
        <f>K493-D493</f>
        <v>0</v>
      </c>
      <c r="S493" s="6">
        <v>0</v>
      </c>
      <c r="T493" s="6">
        <v>1</v>
      </c>
      <c r="U493" s="6">
        <v>0</v>
      </c>
      <c r="V493" s="6">
        <v>3</v>
      </c>
      <c r="W493" s="6">
        <v>3</v>
      </c>
      <c r="X493" s="6">
        <v>3</v>
      </c>
      <c r="Y493" s="37">
        <v>0</v>
      </c>
    </row>
    <row r="494" spans="1:25" x14ac:dyDescent="0.25">
      <c r="A494" s="2">
        <v>68</v>
      </c>
      <c r="B494" s="2">
        <v>117</v>
      </c>
      <c r="C494" s="2">
        <v>75</v>
      </c>
      <c r="D494" s="4">
        <v>1</v>
      </c>
      <c r="E494" s="2">
        <v>22</v>
      </c>
      <c r="F494" s="2">
        <v>6</v>
      </c>
      <c r="G494" s="4">
        <v>14.5</v>
      </c>
      <c r="H494" s="2">
        <v>123</v>
      </c>
      <c r="I494" s="36">
        <v>1.81</v>
      </c>
      <c r="J494" s="2">
        <v>0</v>
      </c>
      <c r="K494" s="4">
        <v>1</v>
      </c>
      <c r="L494" s="2">
        <v>40</v>
      </c>
      <c r="M494" s="2">
        <v>9</v>
      </c>
      <c r="N494" s="5">
        <v>14.8</v>
      </c>
      <c r="O494" s="36">
        <v>1.02</v>
      </c>
      <c r="P494" s="36">
        <f>N494-G494</f>
        <v>0.30000000000000071</v>
      </c>
      <c r="Q494" s="40">
        <v>1</v>
      </c>
      <c r="R494" s="18">
        <f>K494-D494</f>
        <v>0</v>
      </c>
      <c r="S494" s="6">
        <v>0</v>
      </c>
      <c r="T494" s="6">
        <v>1</v>
      </c>
      <c r="U494" s="6">
        <v>1</v>
      </c>
      <c r="V494" s="6">
        <v>3</v>
      </c>
      <c r="W494" s="6">
        <v>3</v>
      </c>
      <c r="X494" s="6">
        <v>4</v>
      </c>
      <c r="Y494" s="37">
        <v>0</v>
      </c>
    </row>
    <row r="495" spans="1:25" x14ac:dyDescent="0.25">
      <c r="A495" s="2">
        <v>72</v>
      </c>
      <c r="B495" s="2">
        <v>122</v>
      </c>
      <c r="C495" s="2">
        <v>95</v>
      </c>
      <c r="D495" s="4">
        <v>1</v>
      </c>
      <c r="F495" s="2">
        <v>1</v>
      </c>
      <c r="H495" s="2">
        <v>136</v>
      </c>
      <c r="I495" s="36">
        <v>1.89</v>
      </c>
      <c r="J495" s="2">
        <v>0</v>
      </c>
      <c r="K495" s="4">
        <v>1</v>
      </c>
      <c r="M495" s="2">
        <v>3</v>
      </c>
      <c r="O495" s="36"/>
      <c r="P495" s="36"/>
      <c r="Q495" s="40">
        <v>1</v>
      </c>
      <c r="R495" s="18">
        <f>K495-D495</f>
        <v>0</v>
      </c>
      <c r="S495" s="6">
        <v>0</v>
      </c>
      <c r="T495" s="6">
        <v>0</v>
      </c>
      <c r="V495" s="6">
        <v>1</v>
      </c>
      <c r="W495" s="6">
        <v>1</v>
      </c>
      <c r="X495" s="6">
        <v>2</v>
      </c>
      <c r="Y495" s="37">
        <v>0</v>
      </c>
    </row>
    <row r="496" spans="1:25" x14ac:dyDescent="0.25">
      <c r="A496" s="2">
        <v>95</v>
      </c>
      <c r="B496" s="2">
        <v>123</v>
      </c>
      <c r="C496" s="2">
        <v>80</v>
      </c>
      <c r="D496" s="4">
        <v>1</v>
      </c>
      <c r="E496" s="2">
        <v>22</v>
      </c>
      <c r="F496" s="2">
        <v>0</v>
      </c>
      <c r="G496" s="4">
        <v>17.2</v>
      </c>
      <c r="H496" s="2">
        <v>146</v>
      </c>
      <c r="I496" s="36">
        <v>1.54</v>
      </c>
      <c r="J496" s="2">
        <v>1</v>
      </c>
      <c r="K496" s="4">
        <v>1</v>
      </c>
      <c r="L496" s="2">
        <v>53</v>
      </c>
      <c r="M496" s="2">
        <v>0</v>
      </c>
      <c r="N496" s="5">
        <v>11.3</v>
      </c>
      <c r="O496" s="36">
        <v>0.66</v>
      </c>
      <c r="P496" s="36">
        <f>N496-G496</f>
        <v>-5.8999999999999986</v>
      </c>
      <c r="Q496" s="40">
        <v>0</v>
      </c>
      <c r="R496" s="18">
        <f>K496-D496</f>
        <v>0</v>
      </c>
      <c r="S496" s="6">
        <v>0</v>
      </c>
      <c r="T496" s="6">
        <v>1</v>
      </c>
      <c r="U496" s="6">
        <v>0</v>
      </c>
      <c r="V496" s="6">
        <v>2</v>
      </c>
      <c r="W496" s="6">
        <v>2</v>
      </c>
      <c r="X496" s="6">
        <v>2</v>
      </c>
      <c r="Y496" s="37">
        <v>0</v>
      </c>
    </row>
    <row r="497" spans="1:25" x14ac:dyDescent="0.25">
      <c r="A497" s="2">
        <v>75</v>
      </c>
      <c r="B497" s="2">
        <v>125</v>
      </c>
      <c r="C497" s="2">
        <v>87</v>
      </c>
      <c r="D497" s="4">
        <v>1</v>
      </c>
      <c r="E497" s="2">
        <v>17</v>
      </c>
      <c r="F497" s="2">
        <v>0</v>
      </c>
      <c r="G497" s="4">
        <v>13.5</v>
      </c>
      <c r="H497" s="2">
        <v>121</v>
      </c>
      <c r="I497" s="36">
        <v>1.61</v>
      </c>
      <c r="J497" s="2">
        <v>1</v>
      </c>
      <c r="K497" s="4">
        <v>1</v>
      </c>
      <c r="M497" s="2">
        <v>1</v>
      </c>
      <c r="N497" s="5">
        <v>12.5</v>
      </c>
      <c r="O497" s="36">
        <v>0.93</v>
      </c>
      <c r="P497" s="36">
        <f>N497-G497</f>
        <v>-1</v>
      </c>
      <c r="Q497" s="40">
        <v>0</v>
      </c>
      <c r="R497" s="18">
        <f>K497-D497</f>
        <v>0</v>
      </c>
      <c r="S497" s="6">
        <v>0</v>
      </c>
      <c r="T497" s="6">
        <v>1</v>
      </c>
      <c r="V497" s="6">
        <v>2</v>
      </c>
      <c r="W497" s="6">
        <v>2</v>
      </c>
      <c r="X497" s="6">
        <v>3</v>
      </c>
      <c r="Y497" s="37">
        <v>0</v>
      </c>
    </row>
    <row r="498" spans="1:25" x14ac:dyDescent="0.25">
      <c r="A498" s="2">
        <v>71</v>
      </c>
      <c r="B498" s="2">
        <v>132</v>
      </c>
      <c r="C498" s="2">
        <v>96</v>
      </c>
      <c r="D498" s="4">
        <v>1</v>
      </c>
      <c r="E498" s="2">
        <v>16</v>
      </c>
      <c r="F498" s="2">
        <v>8</v>
      </c>
      <c r="G498" s="4">
        <v>10.1</v>
      </c>
      <c r="H498" s="2">
        <v>101</v>
      </c>
      <c r="I498" s="36">
        <v>1.42</v>
      </c>
      <c r="J498" s="2">
        <v>1</v>
      </c>
      <c r="K498" s="4">
        <v>1</v>
      </c>
      <c r="L498" s="2">
        <v>25</v>
      </c>
      <c r="M498" s="2">
        <v>10</v>
      </c>
      <c r="N498" s="5">
        <v>14.1</v>
      </c>
      <c r="O498" s="36">
        <v>1.4</v>
      </c>
      <c r="P498" s="36">
        <f>N498-G498</f>
        <v>4</v>
      </c>
      <c r="Q498" s="40">
        <v>1</v>
      </c>
      <c r="R498" s="18">
        <f>K498-D498</f>
        <v>0</v>
      </c>
      <c r="S498" s="6">
        <v>0</v>
      </c>
      <c r="T498" s="6">
        <v>1</v>
      </c>
      <c r="U498" s="6">
        <v>1</v>
      </c>
      <c r="V498" s="6">
        <v>4</v>
      </c>
      <c r="W498" s="6">
        <v>4</v>
      </c>
      <c r="X498" s="6">
        <v>5</v>
      </c>
      <c r="Y498" s="37">
        <v>0</v>
      </c>
    </row>
    <row r="499" spans="1:25" x14ac:dyDescent="0.25">
      <c r="A499" s="2">
        <v>85</v>
      </c>
      <c r="B499" s="2">
        <v>120</v>
      </c>
      <c r="C499" s="2">
        <v>72</v>
      </c>
      <c r="D499" s="4">
        <v>1</v>
      </c>
      <c r="E499" s="2">
        <v>27</v>
      </c>
      <c r="F499" s="2">
        <v>2</v>
      </c>
      <c r="H499" s="2">
        <v>125</v>
      </c>
      <c r="I499" s="36">
        <v>1.47</v>
      </c>
      <c r="J499" s="2">
        <v>1</v>
      </c>
      <c r="K499" s="4">
        <v>1</v>
      </c>
      <c r="L499" s="2">
        <v>56</v>
      </c>
      <c r="M499" s="2">
        <v>3</v>
      </c>
      <c r="N499" s="5">
        <v>18.600000000000001</v>
      </c>
      <c r="O499" s="36"/>
      <c r="P499" s="36"/>
      <c r="Q499" s="40">
        <v>1</v>
      </c>
      <c r="R499" s="18">
        <f>K499-D499</f>
        <v>0</v>
      </c>
      <c r="S499" s="6">
        <v>0</v>
      </c>
      <c r="T499" s="6">
        <v>0</v>
      </c>
      <c r="U499" s="6">
        <v>0</v>
      </c>
      <c r="V499" s="6">
        <v>2</v>
      </c>
      <c r="W499" s="6">
        <v>2</v>
      </c>
      <c r="X499" s="6">
        <v>3</v>
      </c>
      <c r="Y499" s="37">
        <v>0</v>
      </c>
    </row>
    <row r="500" spans="1:25" x14ac:dyDescent="0.25">
      <c r="A500" s="2">
        <v>78</v>
      </c>
      <c r="B500" s="2">
        <v>128</v>
      </c>
      <c r="C500" s="2">
        <v>88</v>
      </c>
      <c r="D500" s="4">
        <v>1</v>
      </c>
      <c r="E500" s="2">
        <v>17</v>
      </c>
      <c r="F500" s="2">
        <v>0</v>
      </c>
      <c r="G500" s="4">
        <v>14.9</v>
      </c>
      <c r="H500" s="2">
        <v>131</v>
      </c>
      <c r="I500" s="36">
        <v>1.68</v>
      </c>
      <c r="J500" s="2">
        <v>1</v>
      </c>
      <c r="K500" s="4">
        <v>1</v>
      </c>
      <c r="L500" s="2">
        <v>31</v>
      </c>
      <c r="M500" s="2">
        <v>3</v>
      </c>
      <c r="N500" s="5">
        <v>19.899999999999999</v>
      </c>
      <c r="O500" s="36">
        <v>1.34</v>
      </c>
      <c r="P500" s="36">
        <f>N500-G500</f>
        <v>4.9999999999999982</v>
      </c>
      <c r="Q500" s="40">
        <v>1</v>
      </c>
      <c r="R500" s="18">
        <f>K500-D500</f>
        <v>0</v>
      </c>
      <c r="S500" s="6">
        <v>0</v>
      </c>
      <c r="T500" s="6">
        <v>0</v>
      </c>
      <c r="U500" s="6">
        <v>1</v>
      </c>
      <c r="V500" s="6">
        <v>3</v>
      </c>
      <c r="W500" s="6">
        <v>3</v>
      </c>
      <c r="X500" s="6">
        <v>4</v>
      </c>
      <c r="Y500" s="37">
        <v>0</v>
      </c>
    </row>
    <row r="501" spans="1:25" x14ac:dyDescent="0.25">
      <c r="A501" s="2">
        <v>68</v>
      </c>
      <c r="B501" s="2">
        <v>103</v>
      </c>
      <c r="C501" s="2">
        <v>75</v>
      </c>
      <c r="D501" s="4">
        <v>1</v>
      </c>
      <c r="E501" s="2">
        <v>11</v>
      </c>
      <c r="F501" s="2">
        <v>0</v>
      </c>
      <c r="G501" s="4">
        <v>12.4</v>
      </c>
      <c r="H501" s="2">
        <v>103</v>
      </c>
      <c r="I501" s="36">
        <v>1.51</v>
      </c>
      <c r="J501" s="2">
        <v>1</v>
      </c>
      <c r="K501" s="4">
        <v>1</v>
      </c>
      <c r="L501" s="2">
        <v>26</v>
      </c>
      <c r="M501" s="2">
        <v>0</v>
      </c>
      <c r="N501" s="5">
        <v>15.1</v>
      </c>
      <c r="O501" s="36">
        <v>1.22</v>
      </c>
      <c r="P501" s="36">
        <f>N501-G501</f>
        <v>2.6999999999999993</v>
      </c>
      <c r="Q501" s="40">
        <v>0</v>
      </c>
      <c r="R501" s="18">
        <f>K501-D501</f>
        <v>0</v>
      </c>
      <c r="S501" s="6">
        <v>0</v>
      </c>
      <c r="T501" s="6">
        <v>1</v>
      </c>
      <c r="U501" s="6">
        <v>0</v>
      </c>
      <c r="V501" s="6">
        <v>3</v>
      </c>
      <c r="W501" s="6">
        <v>3</v>
      </c>
      <c r="X501" s="6">
        <v>4</v>
      </c>
      <c r="Y501" s="37">
        <v>0</v>
      </c>
    </row>
    <row r="502" spans="1:25" x14ac:dyDescent="0.25">
      <c r="A502" s="2">
        <v>86</v>
      </c>
      <c r="B502" s="2">
        <v>109</v>
      </c>
      <c r="C502" s="2">
        <v>77</v>
      </c>
      <c r="D502" s="4">
        <v>1</v>
      </c>
      <c r="E502" s="2">
        <v>24</v>
      </c>
      <c r="F502" s="2">
        <v>0</v>
      </c>
      <c r="G502" s="4">
        <v>13.2</v>
      </c>
      <c r="H502" s="2">
        <v>148</v>
      </c>
      <c r="I502" s="36">
        <v>1.72</v>
      </c>
      <c r="J502" s="2">
        <v>1</v>
      </c>
      <c r="K502" s="4">
        <v>1</v>
      </c>
      <c r="L502" s="2">
        <v>44</v>
      </c>
      <c r="M502" s="2">
        <v>3</v>
      </c>
      <c r="N502" s="5">
        <v>12.8</v>
      </c>
      <c r="O502" s="36">
        <v>0.97</v>
      </c>
      <c r="P502" s="36">
        <f>N502-G502</f>
        <v>-0.39999999999999858</v>
      </c>
      <c r="Q502" s="40">
        <v>1</v>
      </c>
      <c r="R502" s="18">
        <f>K502-D502</f>
        <v>0</v>
      </c>
      <c r="S502" s="6">
        <v>0</v>
      </c>
      <c r="T502" s="6">
        <v>1</v>
      </c>
      <c r="U502" s="6">
        <v>1</v>
      </c>
      <c r="V502" s="6">
        <v>4</v>
      </c>
      <c r="W502" s="6">
        <v>4</v>
      </c>
      <c r="X502" s="6">
        <v>4</v>
      </c>
      <c r="Y502" s="37">
        <v>0</v>
      </c>
    </row>
    <row r="503" spans="1:25" x14ac:dyDescent="0.25">
      <c r="A503" s="2">
        <v>72</v>
      </c>
      <c r="B503" s="2">
        <v>117</v>
      </c>
      <c r="C503" s="2">
        <v>77</v>
      </c>
      <c r="D503" s="4">
        <v>1</v>
      </c>
      <c r="E503" s="2">
        <v>19</v>
      </c>
      <c r="F503" s="2">
        <v>1</v>
      </c>
      <c r="G503" s="4">
        <v>14.1</v>
      </c>
      <c r="H503" s="2">
        <v>144</v>
      </c>
      <c r="I503" s="36">
        <v>2</v>
      </c>
      <c r="J503" s="2">
        <v>0</v>
      </c>
      <c r="K503" s="4">
        <v>1</v>
      </c>
      <c r="L503" s="2">
        <v>51</v>
      </c>
      <c r="M503" s="2">
        <v>0</v>
      </c>
      <c r="N503" s="5">
        <v>17.2</v>
      </c>
      <c r="O503" s="36">
        <v>1.22</v>
      </c>
      <c r="P503" s="36">
        <f>N503-G503</f>
        <v>3.0999999999999996</v>
      </c>
      <c r="Q503" s="40">
        <v>0</v>
      </c>
      <c r="R503" s="18">
        <f>K503-D503</f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37">
        <v>0</v>
      </c>
    </row>
    <row r="504" spans="1:25" x14ac:dyDescent="0.25">
      <c r="A504" s="2">
        <v>74</v>
      </c>
      <c r="B504" s="2">
        <v>128</v>
      </c>
      <c r="C504" s="2">
        <v>89</v>
      </c>
      <c r="D504" s="4">
        <v>1</v>
      </c>
      <c r="E504" s="2">
        <v>22</v>
      </c>
      <c r="F504" s="2">
        <v>0</v>
      </c>
      <c r="G504" s="4">
        <v>14.2</v>
      </c>
      <c r="H504" s="2">
        <v>139</v>
      </c>
      <c r="I504" s="36">
        <v>1.88</v>
      </c>
      <c r="J504" s="2">
        <v>0</v>
      </c>
      <c r="K504" s="4">
        <v>1</v>
      </c>
      <c r="L504" s="2">
        <v>35</v>
      </c>
      <c r="M504" s="2">
        <v>0</v>
      </c>
      <c r="N504" s="5">
        <v>19.3</v>
      </c>
      <c r="O504" s="36">
        <v>1.36</v>
      </c>
      <c r="P504" s="36">
        <f>N504-G504</f>
        <v>5.1000000000000014</v>
      </c>
      <c r="Q504" s="40">
        <v>0</v>
      </c>
      <c r="R504" s="18">
        <f>K504-D504</f>
        <v>0</v>
      </c>
      <c r="S504" s="6">
        <v>0</v>
      </c>
      <c r="T504" s="6">
        <v>0</v>
      </c>
      <c r="U504" s="6">
        <v>1</v>
      </c>
      <c r="V504" s="6">
        <v>1</v>
      </c>
      <c r="W504" s="6">
        <v>1</v>
      </c>
      <c r="X504" s="6">
        <v>1</v>
      </c>
      <c r="Y504" s="37">
        <v>0</v>
      </c>
    </row>
    <row r="505" spans="1:25" x14ac:dyDescent="0.25">
      <c r="A505" s="2">
        <v>87</v>
      </c>
      <c r="B505" s="2">
        <v>158</v>
      </c>
      <c r="C505" s="2">
        <v>110</v>
      </c>
      <c r="D505" s="4">
        <v>1</v>
      </c>
      <c r="E505" s="2">
        <v>52</v>
      </c>
      <c r="F505" s="2">
        <v>5</v>
      </c>
      <c r="G505" s="4">
        <v>12.9</v>
      </c>
      <c r="H505" s="2">
        <v>110</v>
      </c>
      <c r="I505" s="36">
        <v>1.26</v>
      </c>
      <c r="J505" s="2">
        <v>1</v>
      </c>
      <c r="K505" s="4">
        <v>1</v>
      </c>
      <c r="L505" s="2">
        <v>61</v>
      </c>
      <c r="M505" s="2">
        <v>13</v>
      </c>
      <c r="N505" s="5">
        <v>18</v>
      </c>
      <c r="O505" s="36">
        <v>1.4</v>
      </c>
      <c r="P505" s="36">
        <f>N505-G505</f>
        <v>5.0999999999999996</v>
      </c>
      <c r="Q505" s="40">
        <v>1</v>
      </c>
      <c r="R505" s="18">
        <f>K505-D505</f>
        <v>0</v>
      </c>
      <c r="S505" s="6">
        <v>0</v>
      </c>
      <c r="T505" s="6">
        <v>1</v>
      </c>
      <c r="V505" s="6">
        <v>3</v>
      </c>
      <c r="W505" s="6">
        <v>3</v>
      </c>
      <c r="X505" s="6">
        <v>3</v>
      </c>
      <c r="Y505" s="37">
        <v>0</v>
      </c>
    </row>
    <row r="506" spans="1:25" x14ac:dyDescent="0.25">
      <c r="A506" s="2">
        <v>58</v>
      </c>
      <c r="B506" s="2">
        <v>116</v>
      </c>
      <c r="C506" s="2">
        <v>79</v>
      </c>
      <c r="D506" s="4">
        <v>1</v>
      </c>
      <c r="E506" s="2">
        <v>19</v>
      </c>
      <c r="F506" s="2">
        <v>0</v>
      </c>
      <c r="G506" s="4">
        <v>14.8</v>
      </c>
      <c r="H506" s="2">
        <v>120</v>
      </c>
      <c r="I506" s="36">
        <v>2.0699999999999998</v>
      </c>
      <c r="J506" s="2">
        <v>0</v>
      </c>
      <c r="K506" s="4">
        <v>1.1200000000000001</v>
      </c>
      <c r="L506" s="2">
        <v>43</v>
      </c>
      <c r="M506" s="2">
        <v>4</v>
      </c>
      <c r="N506" s="5">
        <v>15.6</v>
      </c>
      <c r="O506" s="36">
        <v>1.05</v>
      </c>
      <c r="P506" s="36">
        <f>N506-G506</f>
        <v>0.79999999999999893</v>
      </c>
      <c r="Q506" s="40">
        <v>1</v>
      </c>
      <c r="R506" s="18">
        <f>K506-D506</f>
        <v>0.12000000000000011</v>
      </c>
      <c r="S506" s="6">
        <v>1</v>
      </c>
      <c r="T506" s="6">
        <v>0</v>
      </c>
      <c r="V506" s="6">
        <v>2</v>
      </c>
      <c r="W506" s="6">
        <v>2</v>
      </c>
      <c r="X506" s="6">
        <v>3</v>
      </c>
      <c r="Y506" s="37">
        <v>0</v>
      </c>
    </row>
    <row r="507" spans="1:25" x14ac:dyDescent="0.25">
      <c r="A507" s="2">
        <v>68</v>
      </c>
      <c r="B507" s="2">
        <v>127</v>
      </c>
      <c r="C507" s="2">
        <v>77</v>
      </c>
      <c r="D507" s="4">
        <v>1</v>
      </c>
      <c r="E507" s="2">
        <v>37</v>
      </c>
      <c r="F507" s="2">
        <v>3</v>
      </c>
      <c r="G507" s="4">
        <v>20.6</v>
      </c>
      <c r="H507" s="2">
        <v>148</v>
      </c>
      <c r="I507" s="36">
        <v>2.1800000000000002</v>
      </c>
      <c r="J507" s="2">
        <v>0</v>
      </c>
      <c r="K507" s="4">
        <v>1</v>
      </c>
      <c r="L507" s="2">
        <v>67</v>
      </c>
      <c r="M507" s="2">
        <v>5</v>
      </c>
      <c r="N507" s="5">
        <v>21</v>
      </c>
      <c r="O507" s="36">
        <v>1.02</v>
      </c>
      <c r="P507" s="36">
        <f>N507-G507</f>
        <v>0.39999999999999858</v>
      </c>
      <c r="Q507" s="40">
        <v>1</v>
      </c>
      <c r="R507" s="18">
        <f>K507-D507</f>
        <v>0</v>
      </c>
      <c r="S507" s="6">
        <v>0</v>
      </c>
      <c r="T507" s="6">
        <v>1</v>
      </c>
      <c r="U507" s="6">
        <v>1</v>
      </c>
      <c r="V507" s="6">
        <v>3</v>
      </c>
      <c r="W507" s="6">
        <v>3</v>
      </c>
      <c r="X507" s="6">
        <v>3</v>
      </c>
      <c r="Y507" s="1"/>
    </row>
    <row r="508" spans="1:25" x14ac:dyDescent="0.25">
      <c r="A508" s="2">
        <v>107</v>
      </c>
      <c r="B508" s="2">
        <v>170</v>
      </c>
      <c r="C508" s="2">
        <v>58</v>
      </c>
      <c r="D508" s="4">
        <v>1</v>
      </c>
      <c r="E508" s="2">
        <v>38</v>
      </c>
      <c r="F508" s="2">
        <v>0</v>
      </c>
      <c r="G508" s="4">
        <v>20.399999999999999</v>
      </c>
      <c r="H508" s="2">
        <v>144</v>
      </c>
      <c r="I508" s="36">
        <v>1.35</v>
      </c>
      <c r="J508" s="2">
        <v>1</v>
      </c>
      <c r="K508" s="4">
        <v>1</v>
      </c>
      <c r="L508" s="2">
        <v>48</v>
      </c>
      <c r="M508" s="2">
        <v>6</v>
      </c>
      <c r="N508" s="5">
        <v>20.2</v>
      </c>
      <c r="O508" s="36">
        <v>0.99</v>
      </c>
      <c r="P508" s="36">
        <f>N508-G508</f>
        <v>-0.19999999999999929</v>
      </c>
      <c r="Q508" s="40">
        <v>1</v>
      </c>
      <c r="R508" s="18">
        <f>K508-D508</f>
        <v>0</v>
      </c>
      <c r="S508" s="6">
        <v>0</v>
      </c>
      <c r="T508" s="6">
        <v>1</v>
      </c>
      <c r="U508" s="6">
        <v>1</v>
      </c>
      <c r="V508" s="6">
        <v>4</v>
      </c>
      <c r="W508" s="6">
        <v>4</v>
      </c>
      <c r="X508" s="6">
        <v>4</v>
      </c>
      <c r="Y508" s="1">
        <v>0</v>
      </c>
    </row>
    <row r="509" spans="1:25" x14ac:dyDescent="0.25">
      <c r="A509" s="2">
        <v>80</v>
      </c>
      <c r="B509" s="2">
        <v>138</v>
      </c>
      <c r="C509" s="2">
        <v>91</v>
      </c>
      <c r="D509" s="4">
        <v>1</v>
      </c>
      <c r="F509" s="2">
        <v>3</v>
      </c>
      <c r="H509" s="2">
        <v>125</v>
      </c>
      <c r="I509" s="36">
        <v>1.56</v>
      </c>
      <c r="J509" s="2">
        <v>1</v>
      </c>
      <c r="K509" s="4">
        <v>1</v>
      </c>
      <c r="M509" s="2">
        <v>1</v>
      </c>
      <c r="O509" s="36"/>
      <c r="P509" s="36"/>
      <c r="Q509" s="40">
        <v>1</v>
      </c>
      <c r="R509" s="18">
        <f>K509-D509</f>
        <v>0</v>
      </c>
      <c r="S509" s="6">
        <v>0</v>
      </c>
      <c r="T509" s="6">
        <v>1</v>
      </c>
      <c r="V509" s="6">
        <v>3</v>
      </c>
      <c r="W509" s="6">
        <v>3</v>
      </c>
      <c r="X509" s="6">
        <v>3</v>
      </c>
      <c r="Y509" s="1"/>
    </row>
    <row r="510" spans="1:25" x14ac:dyDescent="0.25">
      <c r="A510" s="2">
        <v>100</v>
      </c>
      <c r="B510" s="2">
        <v>140</v>
      </c>
      <c r="C510" s="2">
        <v>76</v>
      </c>
      <c r="D510" s="4">
        <v>1</v>
      </c>
      <c r="E510" s="2">
        <v>30</v>
      </c>
      <c r="F510" s="2">
        <v>0</v>
      </c>
      <c r="G510" s="4">
        <v>19.2</v>
      </c>
      <c r="H510" s="2">
        <v>146</v>
      </c>
      <c r="I510" s="36">
        <v>1.46</v>
      </c>
      <c r="J510" s="2">
        <v>1</v>
      </c>
      <c r="K510" s="4">
        <v>1</v>
      </c>
      <c r="L510" s="2">
        <v>55</v>
      </c>
      <c r="M510" s="2">
        <v>5</v>
      </c>
      <c r="N510" s="5">
        <v>14.7</v>
      </c>
      <c r="O510" s="36">
        <v>0.77</v>
      </c>
      <c r="P510" s="36">
        <f>N510-G510</f>
        <v>-4.5</v>
      </c>
      <c r="Q510" s="40">
        <v>1</v>
      </c>
      <c r="R510" s="18">
        <f>K510-D510</f>
        <v>0</v>
      </c>
      <c r="S510" s="6">
        <v>0</v>
      </c>
      <c r="T510" s="6">
        <v>1</v>
      </c>
      <c r="U510" s="6">
        <v>1</v>
      </c>
      <c r="V510" s="6">
        <v>4</v>
      </c>
      <c r="W510" s="6">
        <v>4</v>
      </c>
      <c r="X510" s="6">
        <v>4</v>
      </c>
      <c r="Y510">
        <v>0</v>
      </c>
    </row>
    <row r="511" spans="1:25" x14ac:dyDescent="0.25">
      <c r="A511" s="2">
        <v>57</v>
      </c>
      <c r="B511" s="2">
        <v>118</v>
      </c>
      <c r="C511" s="2">
        <v>85</v>
      </c>
      <c r="D511" s="4">
        <v>1</v>
      </c>
      <c r="E511" s="2">
        <v>31</v>
      </c>
      <c r="F511" s="2">
        <v>1</v>
      </c>
      <c r="G511" s="4">
        <v>11.5</v>
      </c>
      <c r="H511" s="2">
        <v>142</v>
      </c>
      <c r="I511" s="36">
        <v>2.4900000000000002</v>
      </c>
      <c r="J511" s="2">
        <v>0</v>
      </c>
      <c r="K511" s="4">
        <v>1</v>
      </c>
      <c r="L511" s="2">
        <v>47</v>
      </c>
      <c r="M511" s="2">
        <v>5</v>
      </c>
      <c r="N511" s="5">
        <v>16.399999999999999</v>
      </c>
      <c r="O511" s="36">
        <v>1.42</v>
      </c>
      <c r="P511" s="36">
        <f>N511-G511</f>
        <v>4.8999999999999986</v>
      </c>
      <c r="Q511" s="40">
        <v>1</v>
      </c>
      <c r="R511" s="18">
        <f>K511-D511</f>
        <v>0</v>
      </c>
      <c r="S511" s="6">
        <v>0</v>
      </c>
      <c r="T511" s="6">
        <v>0</v>
      </c>
      <c r="U511" s="6">
        <v>1</v>
      </c>
      <c r="V511" s="6">
        <v>2</v>
      </c>
      <c r="W511" s="6">
        <v>2</v>
      </c>
      <c r="X511" s="6">
        <v>2</v>
      </c>
      <c r="Y511">
        <v>0</v>
      </c>
    </row>
    <row r="512" spans="1:25" x14ac:dyDescent="0.25">
      <c r="A512" s="2">
        <v>64</v>
      </c>
      <c r="B512" s="2">
        <v>118</v>
      </c>
      <c r="C512" s="2">
        <v>70</v>
      </c>
      <c r="D512" s="4">
        <v>1</v>
      </c>
      <c r="E512" s="2">
        <v>21</v>
      </c>
      <c r="F512" s="2">
        <v>3</v>
      </c>
      <c r="H512" s="2">
        <v>134</v>
      </c>
      <c r="I512" s="36">
        <v>2.09</v>
      </c>
      <c r="J512" s="2">
        <v>0</v>
      </c>
      <c r="K512" s="4">
        <v>1</v>
      </c>
      <c r="L512" s="2">
        <v>45</v>
      </c>
      <c r="M512" s="2">
        <v>1</v>
      </c>
      <c r="O512" s="36"/>
      <c r="P512" s="36"/>
      <c r="Q512" s="40">
        <v>1</v>
      </c>
      <c r="R512" s="18">
        <f>K512-D512</f>
        <v>0</v>
      </c>
      <c r="S512" s="6">
        <v>0</v>
      </c>
      <c r="T512" s="6">
        <v>0</v>
      </c>
      <c r="U512" s="6">
        <v>0</v>
      </c>
      <c r="V512" s="6">
        <v>1</v>
      </c>
      <c r="W512" s="6">
        <v>1</v>
      </c>
      <c r="X512" s="6">
        <v>1</v>
      </c>
    </row>
    <row r="513" spans="1:25" x14ac:dyDescent="0.25">
      <c r="A513" s="2">
        <v>73</v>
      </c>
      <c r="B513" s="2">
        <v>137</v>
      </c>
      <c r="C513" s="2">
        <v>87</v>
      </c>
      <c r="D513" s="4">
        <v>1.1200000000000001</v>
      </c>
      <c r="E513" s="2">
        <v>19</v>
      </c>
      <c r="F513" s="2">
        <v>0</v>
      </c>
      <c r="G513" s="4">
        <v>17.399999999999999</v>
      </c>
      <c r="H513" s="2">
        <v>110</v>
      </c>
      <c r="I513" s="36">
        <v>1.51</v>
      </c>
      <c r="J513" s="2">
        <v>1</v>
      </c>
      <c r="K513" s="4">
        <v>1.1200000000000001</v>
      </c>
      <c r="L513" s="2">
        <v>39</v>
      </c>
      <c r="M513" s="2">
        <v>2</v>
      </c>
      <c r="N513" s="5">
        <v>18.399999999999999</v>
      </c>
      <c r="O513" s="36">
        <v>1.06</v>
      </c>
      <c r="P513" s="36">
        <f>N513-G513</f>
        <v>1</v>
      </c>
      <c r="Q513" s="40">
        <v>1</v>
      </c>
      <c r="R513" s="18">
        <f>K513-D513</f>
        <v>0</v>
      </c>
      <c r="S513" s="6">
        <v>0</v>
      </c>
      <c r="T513" s="6">
        <v>1</v>
      </c>
      <c r="U513" s="6">
        <v>0</v>
      </c>
      <c r="V513" s="6">
        <v>3</v>
      </c>
      <c r="W513" s="6">
        <v>3</v>
      </c>
      <c r="X513" s="6">
        <v>3</v>
      </c>
      <c r="Y513">
        <v>1</v>
      </c>
    </row>
    <row r="514" spans="1:25" x14ac:dyDescent="0.25">
      <c r="A514" s="2">
        <v>80</v>
      </c>
      <c r="B514" s="2">
        <v>164</v>
      </c>
      <c r="C514" s="2">
        <v>99</v>
      </c>
      <c r="D514" s="4">
        <v>1</v>
      </c>
      <c r="E514" s="2">
        <v>19</v>
      </c>
      <c r="F514" s="2">
        <v>0</v>
      </c>
      <c r="G514" s="4">
        <v>14.5</v>
      </c>
      <c r="H514" s="2">
        <v>129</v>
      </c>
      <c r="I514" s="36">
        <v>1.61</v>
      </c>
      <c r="J514" s="2">
        <v>1</v>
      </c>
      <c r="K514" s="4">
        <v>1.1200000000000001</v>
      </c>
      <c r="L514" s="2">
        <v>32</v>
      </c>
      <c r="M514" s="2">
        <v>1</v>
      </c>
      <c r="O514" s="36"/>
      <c r="P514" s="36"/>
      <c r="Q514" s="40">
        <v>0</v>
      </c>
      <c r="R514" s="18">
        <f>K514-D514</f>
        <v>0.12000000000000011</v>
      </c>
      <c r="S514" s="6">
        <v>1</v>
      </c>
      <c r="T514" s="6">
        <v>1</v>
      </c>
      <c r="U514" s="6">
        <v>1</v>
      </c>
      <c r="V514" s="6">
        <v>4</v>
      </c>
      <c r="W514" s="6">
        <v>4</v>
      </c>
      <c r="X514" s="6">
        <v>5</v>
      </c>
      <c r="Y514">
        <v>0</v>
      </c>
    </row>
    <row r="515" spans="1:25" x14ac:dyDescent="0.25">
      <c r="A515" s="2">
        <v>73</v>
      </c>
      <c r="B515" s="2">
        <v>116</v>
      </c>
      <c r="C515" s="2">
        <v>77</v>
      </c>
      <c r="D515" s="4">
        <v>1</v>
      </c>
      <c r="E515" s="2">
        <v>23</v>
      </c>
      <c r="F515" s="2">
        <v>3</v>
      </c>
      <c r="G515" s="4">
        <v>15.7</v>
      </c>
      <c r="H515" s="2">
        <v>122</v>
      </c>
      <c r="I515" s="36">
        <v>1.67</v>
      </c>
      <c r="J515" s="2">
        <v>1</v>
      </c>
      <c r="K515" s="4">
        <v>1</v>
      </c>
      <c r="L515" s="2">
        <v>67</v>
      </c>
      <c r="M515" s="2">
        <v>0</v>
      </c>
      <c r="O515" s="36"/>
      <c r="P515" s="36"/>
      <c r="Q515" s="40">
        <v>1</v>
      </c>
      <c r="R515" s="18">
        <f>K515-D515</f>
        <v>0</v>
      </c>
      <c r="S515" s="6">
        <v>0</v>
      </c>
      <c r="T515" s="6">
        <v>1</v>
      </c>
      <c r="U515" s="6">
        <v>0</v>
      </c>
      <c r="V515" s="6">
        <v>3</v>
      </c>
      <c r="W515" s="6">
        <v>3</v>
      </c>
      <c r="X515" s="6">
        <v>4</v>
      </c>
      <c r="Y515">
        <v>0</v>
      </c>
    </row>
    <row r="516" spans="1:25" x14ac:dyDescent="0.25">
      <c r="A516" s="2">
        <v>60</v>
      </c>
      <c r="B516" s="2">
        <v>129</v>
      </c>
      <c r="C516" s="2">
        <v>81</v>
      </c>
      <c r="D516" s="4">
        <v>1</v>
      </c>
      <c r="E516" s="2">
        <v>33</v>
      </c>
      <c r="F516" s="2">
        <v>3</v>
      </c>
      <c r="G516" s="4">
        <v>15.6</v>
      </c>
      <c r="H516" s="2">
        <v>85</v>
      </c>
      <c r="I516" s="36">
        <v>1.42</v>
      </c>
      <c r="J516" s="2">
        <v>0</v>
      </c>
      <c r="K516" s="4">
        <v>1</v>
      </c>
      <c r="L516" s="2">
        <v>97</v>
      </c>
      <c r="M516" s="2">
        <v>1</v>
      </c>
      <c r="N516" s="5">
        <v>14</v>
      </c>
      <c r="O516" s="36">
        <v>0.9</v>
      </c>
      <c r="P516" s="36">
        <f>N516-G516</f>
        <v>-1.5999999999999996</v>
      </c>
      <c r="Q516" s="40">
        <v>1</v>
      </c>
      <c r="R516" s="18">
        <f>K516-D516</f>
        <v>0</v>
      </c>
      <c r="S516" s="6">
        <v>0</v>
      </c>
      <c r="T516" s="6">
        <v>0</v>
      </c>
      <c r="U516" s="6">
        <v>0</v>
      </c>
      <c r="V516" s="6">
        <v>1</v>
      </c>
      <c r="W516" s="6">
        <v>1</v>
      </c>
      <c r="X516" s="6">
        <v>1</v>
      </c>
      <c r="Y516">
        <v>0</v>
      </c>
    </row>
    <row r="517" spans="1:25" x14ac:dyDescent="0.25">
      <c r="A517" s="2">
        <v>65</v>
      </c>
      <c r="B517" s="2">
        <v>119</v>
      </c>
      <c r="C517" s="2">
        <v>85</v>
      </c>
      <c r="D517" s="4">
        <v>1</v>
      </c>
      <c r="E517" s="2">
        <v>13</v>
      </c>
      <c r="F517" s="2">
        <v>1</v>
      </c>
      <c r="G517" s="4">
        <v>14.4</v>
      </c>
      <c r="H517" s="2">
        <v>131</v>
      </c>
      <c r="I517" s="36">
        <v>2.02</v>
      </c>
      <c r="J517" s="2">
        <v>0</v>
      </c>
      <c r="K517" s="4">
        <v>1</v>
      </c>
      <c r="L517" s="2">
        <v>29</v>
      </c>
      <c r="M517" s="2">
        <v>3</v>
      </c>
      <c r="O517" s="36"/>
      <c r="P517" s="36"/>
      <c r="Q517" s="40">
        <v>1</v>
      </c>
      <c r="R517" s="18">
        <f>K517-D517</f>
        <v>0</v>
      </c>
      <c r="S517" s="6">
        <v>0</v>
      </c>
      <c r="T517" s="6">
        <v>0</v>
      </c>
      <c r="U517" s="6">
        <v>0</v>
      </c>
      <c r="V517" s="6">
        <v>1</v>
      </c>
      <c r="W517" s="6">
        <v>1</v>
      </c>
      <c r="X517" s="6">
        <v>2</v>
      </c>
    </row>
    <row r="518" spans="1:25" x14ac:dyDescent="0.25">
      <c r="I518" s="36" t="e">
        <f>H518/A518</f>
        <v>#DIV/0!</v>
      </c>
      <c r="O518" s="36" t="e">
        <f>N518/G518</f>
        <v>#DIV/0!</v>
      </c>
      <c r="P518" s="36"/>
      <c r="Q518" s="40"/>
      <c r="R518" s="18"/>
    </row>
    <row r="519" spans="1:25" x14ac:dyDescent="0.25">
      <c r="I519" s="36" t="e">
        <f>H519/A519</f>
        <v>#DIV/0!</v>
      </c>
      <c r="O519" s="36" t="e">
        <f>N519/G519</f>
        <v>#DIV/0!</v>
      </c>
      <c r="P519" s="36"/>
      <c r="Q519" s="40"/>
      <c r="R519" s="18"/>
    </row>
    <row r="520" spans="1:25" x14ac:dyDescent="0.25">
      <c r="I520" s="36" t="e">
        <f>H520/A520</f>
        <v>#DIV/0!</v>
      </c>
      <c r="O520" s="36" t="e">
        <f>N520/G520</f>
        <v>#DIV/0!</v>
      </c>
      <c r="P520" s="36"/>
      <c r="Q520" s="40"/>
      <c r="R520" s="18"/>
    </row>
    <row r="521" spans="1:25" x14ac:dyDescent="0.25">
      <c r="I521" s="36" t="e">
        <f>H521/A521</f>
        <v>#DIV/0!</v>
      </c>
      <c r="O521" s="36" t="e">
        <f>N521/G521</f>
        <v>#DIV/0!</v>
      </c>
      <c r="P521" s="36"/>
      <c r="Q521" s="40"/>
      <c r="R521" s="41"/>
    </row>
    <row r="522" spans="1:25" x14ac:dyDescent="0.25">
      <c r="I522" s="36" t="e">
        <f>H522/A522</f>
        <v>#DIV/0!</v>
      </c>
      <c r="O522" s="36" t="e">
        <f>N522/G522</f>
        <v>#DIV/0!</v>
      </c>
      <c r="P522" s="36"/>
      <c r="Q522" s="40"/>
      <c r="R522" s="41"/>
    </row>
    <row r="523" spans="1:25" x14ac:dyDescent="0.25">
      <c r="I523" s="36" t="e">
        <f>H523/A523</f>
        <v>#DIV/0!</v>
      </c>
      <c r="O523" s="36" t="e">
        <f>N523/G523</f>
        <v>#DIV/0!</v>
      </c>
      <c r="P523" s="36"/>
      <c r="Q523" s="40"/>
      <c r="R523" s="41"/>
    </row>
    <row r="524" spans="1:25" x14ac:dyDescent="0.25">
      <c r="I524" s="36" t="e">
        <f>H524/A524</f>
        <v>#DIV/0!</v>
      </c>
      <c r="O524" s="36" t="e">
        <f>N524/G524</f>
        <v>#DIV/0!</v>
      </c>
      <c r="P524" s="36"/>
      <c r="Q524" s="40"/>
      <c r="R524" s="41"/>
    </row>
    <row r="525" spans="1:25" x14ac:dyDescent="0.25">
      <c r="I525" s="36" t="e">
        <f>H525/A525</f>
        <v>#DIV/0!</v>
      </c>
      <c r="O525" s="36" t="e">
        <f>N525/G525</f>
        <v>#DIV/0!</v>
      </c>
      <c r="P525" s="36"/>
      <c r="Q525" s="40"/>
      <c r="R525" s="41"/>
    </row>
    <row r="526" spans="1:25" x14ac:dyDescent="0.25">
      <c r="I526" s="36" t="e">
        <f>H526/A526</f>
        <v>#DIV/0!</v>
      </c>
      <c r="O526" s="36" t="e">
        <f>N526/G526</f>
        <v>#DIV/0!</v>
      </c>
      <c r="P526" s="36"/>
      <c r="Q526" s="40"/>
      <c r="R526" s="41"/>
    </row>
    <row r="527" spans="1:25" x14ac:dyDescent="0.25">
      <c r="I527" s="36" t="e">
        <f>H527/A527</f>
        <v>#DIV/0!</v>
      </c>
      <c r="O527" s="36" t="e">
        <f>N527/G527</f>
        <v>#DIV/0!</v>
      </c>
      <c r="P527" s="36"/>
      <c r="Q527" s="40"/>
      <c r="R527" s="41"/>
    </row>
    <row r="528" spans="1:25" x14ac:dyDescent="0.25">
      <c r="I528" s="36" t="e">
        <f>H528/A528</f>
        <v>#DIV/0!</v>
      </c>
      <c r="O528" s="36" t="e">
        <f>N528/G528</f>
        <v>#DIV/0!</v>
      </c>
      <c r="P528" s="36"/>
      <c r="Q528" s="40"/>
      <c r="R528" s="41"/>
    </row>
    <row r="529" spans="9:18" x14ac:dyDescent="0.25">
      <c r="I529" s="36" t="e">
        <f>H529/A529</f>
        <v>#DIV/0!</v>
      </c>
      <c r="O529" s="36" t="e">
        <f>N529/G529</f>
        <v>#DIV/0!</v>
      </c>
      <c r="P529" s="36"/>
      <c r="Q529" s="40"/>
      <c r="R529" s="41"/>
    </row>
    <row r="530" spans="9:18" x14ac:dyDescent="0.25">
      <c r="I530" s="36" t="e">
        <f>H530/A530</f>
        <v>#DIV/0!</v>
      </c>
      <c r="O530" s="36" t="e">
        <f>N530/G530</f>
        <v>#DIV/0!</v>
      </c>
      <c r="P530" s="36"/>
      <c r="Q530" s="40"/>
      <c r="R530" s="41"/>
    </row>
    <row r="531" spans="9:18" x14ac:dyDescent="0.25">
      <c r="I531" s="36" t="e">
        <f>H531/A531</f>
        <v>#DIV/0!</v>
      </c>
      <c r="O531" s="36" t="e">
        <f>N531/G531</f>
        <v>#DIV/0!</v>
      </c>
      <c r="P531" s="36"/>
      <c r="Q531" s="40"/>
      <c r="R531" s="41"/>
    </row>
    <row r="532" spans="9:18" x14ac:dyDescent="0.25">
      <c r="I532" s="36" t="e">
        <f>H532/A532</f>
        <v>#DIV/0!</v>
      </c>
      <c r="O532" s="36" t="e">
        <f>N532/G532</f>
        <v>#DIV/0!</v>
      </c>
      <c r="P532" s="36"/>
      <c r="Q532" s="40"/>
      <c r="R532" s="41"/>
    </row>
    <row r="533" spans="9:18" x14ac:dyDescent="0.25">
      <c r="I533" s="36" t="e">
        <f>H533/A533</f>
        <v>#DIV/0!</v>
      </c>
      <c r="O533" s="36" t="e">
        <f>N533/G533</f>
        <v>#DIV/0!</v>
      </c>
      <c r="P533" s="36"/>
      <c r="Q533" s="40"/>
      <c r="R533" s="41"/>
    </row>
    <row r="534" spans="9:18" x14ac:dyDescent="0.25">
      <c r="I534" s="36" t="e">
        <f>H534/A534</f>
        <v>#DIV/0!</v>
      </c>
      <c r="O534" s="36" t="e">
        <f>N534/G534</f>
        <v>#DIV/0!</v>
      </c>
      <c r="P534" s="36"/>
      <c r="Q534" s="40"/>
      <c r="R534" s="41"/>
    </row>
    <row r="535" spans="9:18" x14ac:dyDescent="0.25">
      <c r="I535" s="36" t="e">
        <f>H535/A535</f>
        <v>#DIV/0!</v>
      </c>
      <c r="O535" s="36" t="e">
        <f>N535/G535</f>
        <v>#DIV/0!</v>
      </c>
      <c r="P535" s="36"/>
      <c r="Q535" s="40"/>
      <c r="R535" s="41"/>
    </row>
    <row r="536" spans="9:18" x14ac:dyDescent="0.25">
      <c r="I536" s="36" t="e">
        <f>H536/A536</f>
        <v>#DIV/0!</v>
      </c>
      <c r="O536" s="36" t="e">
        <f>N536/G536</f>
        <v>#DIV/0!</v>
      </c>
      <c r="P536" s="36"/>
      <c r="Q536" s="40"/>
      <c r="R536" s="41"/>
    </row>
    <row r="537" spans="9:18" x14ac:dyDescent="0.25">
      <c r="I537" s="36" t="e">
        <f>H537/A537</f>
        <v>#DIV/0!</v>
      </c>
      <c r="O537" s="36" t="e">
        <f>N537/G537</f>
        <v>#DIV/0!</v>
      </c>
      <c r="P537" s="36"/>
      <c r="Q537" s="40"/>
      <c r="R537" s="41"/>
    </row>
    <row r="538" spans="9:18" x14ac:dyDescent="0.25">
      <c r="I538" s="36" t="e">
        <f>H538/A538</f>
        <v>#DIV/0!</v>
      </c>
      <c r="O538" s="36" t="e">
        <f>N538/G538</f>
        <v>#DIV/0!</v>
      </c>
      <c r="P538" s="36"/>
      <c r="Q538" s="40"/>
      <c r="R538" s="4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СтрессЭхо 2030 новый июнь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Ольга А. Журавлева</cp:lastModifiedBy>
  <cp:revision>2</cp:revision>
  <cp:lastPrinted>2025-02-18T05:32:20Z</cp:lastPrinted>
  <dcterms:created xsi:type="dcterms:W3CDTF">2024-07-19T06:05:32Z</dcterms:created>
  <dcterms:modified xsi:type="dcterms:W3CDTF">2026-05-08T08:04:06Z</dcterms:modified>
  <dc:language>ru-RU</dc:language>
</cp:coreProperties>
</file>